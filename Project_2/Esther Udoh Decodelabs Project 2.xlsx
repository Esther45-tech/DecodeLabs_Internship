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13_ncr:1_{ECB42FFF-F8F3-4040-ADD6-6F6EA84B3EDA}" xr6:coauthVersionLast="47" xr6:coauthVersionMax="47" xr10:uidLastSave="{00000000-0000-0000-0000-000000000000}"/>
  <bookViews>
    <workbookView xWindow="-120" yWindow="-120" windowWidth="24240" windowHeight="13140" activeTab="4" xr2:uid="{00D3B571-966D-4C71-B57B-98874716B007}"/>
  </bookViews>
  <sheets>
    <sheet name="Cleaned Data" sheetId="6" r:id="rId1"/>
    <sheet name="Sales Overview" sheetId="9" r:id="rId2"/>
    <sheet name="Pivot Table" sheetId="13" r:id="rId3"/>
    <sheet name="Visualisation" sheetId="14" r:id="rId4"/>
    <sheet name="Summary Table" sheetId="15" r:id="rId5"/>
  </sheets>
  <definedNames>
    <definedName name="ExternalData_1" localSheetId="0" hidden="1">'Cleaned Data'!$A$1:$N$464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5" l="1"/>
  <c r="G13" i="15" s="1"/>
  <c r="G11" i="15"/>
  <c r="G6" i="15"/>
  <c r="G5" i="15"/>
  <c r="G4" i="15"/>
  <c r="N383" i="6"/>
  <c r="N21" i="6"/>
  <c r="N397" i="6"/>
  <c r="N39" i="6"/>
  <c r="N310" i="6"/>
  <c r="N255" i="6"/>
  <c r="N239" i="6"/>
  <c r="N399" i="6"/>
  <c r="N73" i="6"/>
  <c r="N11" i="6"/>
  <c r="N436" i="6"/>
  <c r="N364" i="6"/>
  <c r="N275" i="6"/>
  <c r="N234" i="6"/>
  <c r="N315" i="6"/>
  <c r="N179" i="6"/>
  <c r="N337" i="6"/>
  <c r="N331" i="6"/>
  <c r="N172" i="6"/>
  <c r="N379" i="6"/>
  <c r="N139" i="6"/>
  <c r="N449" i="6"/>
  <c r="N176" i="6"/>
  <c r="N321" i="6"/>
  <c r="N350" i="6"/>
  <c r="N386" i="6"/>
  <c r="N316" i="6"/>
  <c r="N155" i="6"/>
  <c r="N223" i="6"/>
  <c r="N131" i="6"/>
  <c r="N24" i="6"/>
  <c r="N430" i="6"/>
  <c r="N53" i="6"/>
  <c r="N206" i="6"/>
  <c r="N434" i="6"/>
  <c r="N409" i="6"/>
  <c r="N236" i="6"/>
  <c r="N248" i="6"/>
  <c r="N93" i="6"/>
  <c r="N132" i="6"/>
  <c r="N376" i="6"/>
  <c r="N59" i="6"/>
  <c r="N340" i="6"/>
  <c r="N431" i="6"/>
  <c r="N423" i="6"/>
  <c r="N354" i="6"/>
  <c r="N282" i="6"/>
  <c r="N392" i="6"/>
  <c r="N188" i="6"/>
  <c r="N133" i="6"/>
  <c r="N122" i="6"/>
  <c r="N85" i="6"/>
  <c r="N47" i="6"/>
  <c r="N342" i="6"/>
  <c r="N311" i="6"/>
  <c r="N452" i="6"/>
  <c r="N290" i="6"/>
  <c r="N353" i="6"/>
  <c r="N347" i="6"/>
  <c r="N263" i="6"/>
  <c r="N460" i="6"/>
  <c r="N134" i="6"/>
  <c r="N267" i="6"/>
  <c r="N147" i="6"/>
  <c r="N107" i="6"/>
  <c r="N323" i="6"/>
  <c r="N164" i="6"/>
  <c r="N126" i="6"/>
  <c r="N284" i="6"/>
  <c r="N245" i="6"/>
  <c r="N271" i="6"/>
  <c r="N101" i="6"/>
  <c r="N233" i="6"/>
  <c r="N56" i="6"/>
  <c r="N373" i="6"/>
  <c r="N328" i="6"/>
  <c r="N9" i="6"/>
  <c r="N250" i="6"/>
  <c r="N367" i="6"/>
  <c r="N55" i="6"/>
  <c r="N242" i="6"/>
  <c r="N42" i="6"/>
  <c r="N421" i="6"/>
  <c r="N108" i="6"/>
  <c r="N302" i="6"/>
  <c r="N318" i="6"/>
  <c r="N12" i="6"/>
  <c r="N420" i="6"/>
  <c r="N77" i="6"/>
  <c r="N356" i="6"/>
  <c r="N437" i="6"/>
  <c r="N216" i="6"/>
  <c r="N285" i="6"/>
  <c r="N293" i="6"/>
  <c r="N138" i="6"/>
  <c r="N410" i="6"/>
  <c r="N99" i="6"/>
  <c r="N414" i="6"/>
  <c r="N207" i="6"/>
  <c r="N345" i="6"/>
  <c r="N203" i="6"/>
  <c r="N40" i="6"/>
  <c r="N87" i="6"/>
  <c r="N165" i="6"/>
  <c r="N37" i="6"/>
  <c r="N178" i="6"/>
  <c r="N344" i="6"/>
  <c r="N180" i="6"/>
  <c r="N227" i="6"/>
  <c r="N169" i="6"/>
  <c r="N189" i="6"/>
  <c r="N174" i="6"/>
  <c r="N136" i="6"/>
  <c r="N182" i="6"/>
  <c r="N130" i="6"/>
  <c r="N453" i="6"/>
  <c r="N98" i="6"/>
  <c r="N162" i="6"/>
  <c r="N439" i="6"/>
  <c r="N462" i="6"/>
  <c r="N309" i="6"/>
  <c r="N385" i="6"/>
  <c r="N283" i="6"/>
  <c r="N69" i="6"/>
  <c r="N140" i="6"/>
  <c r="N120" i="6"/>
  <c r="N228" i="6"/>
  <c r="N205" i="6"/>
  <c r="N262" i="6"/>
  <c r="N415" i="6"/>
  <c r="N417" i="6"/>
  <c r="N57" i="6"/>
  <c r="N232" i="6"/>
  <c r="N64" i="6"/>
  <c r="N298" i="6"/>
  <c r="N372" i="6"/>
  <c r="N384" i="6"/>
  <c r="N25" i="6"/>
  <c r="N195" i="6"/>
  <c r="N237" i="6"/>
  <c r="N280" i="6"/>
  <c r="N333" i="6"/>
  <c r="N26" i="6"/>
  <c r="N387" i="6"/>
  <c r="N46" i="6"/>
  <c r="N369" i="6"/>
  <c r="N109" i="6"/>
  <c r="N62" i="6"/>
  <c r="N71" i="6"/>
  <c r="N117" i="6"/>
  <c r="N121" i="6"/>
  <c r="N75" i="6"/>
  <c r="N277" i="6"/>
  <c r="N204" i="6"/>
  <c r="N221" i="6"/>
  <c r="N400" i="6"/>
  <c r="N281" i="6"/>
  <c r="N243" i="6"/>
  <c r="N63" i="6"/>
  <c r="N200" i="6"/>
  <c r="N461" i="6"/>
  <c r="N407" i="6"/>
  <c r="N90" i="6"/>
  <c r="N219" i="6"/>
  <c r="N173" i="6"/>
  <c r="N270" i="6"/>
  <c r="N327" i="6"/>
  <c r="N443" i="6"/>
  <c r="N286" i="6"/>
  <c r="N401" i="6"/>
  <c r="N266" i="6"/>
  <c r="N152" i="6"/>
  <c r="N370" i="6"/>
  <c r="N382" i="6"/>
  <c r="N240" i="6"/>
  <c r="N19" i="6"/>
  <c r="N362" i="6"/>
  <c r="N229" i="6"/>
  <c r="N102" i="6"/>
  <c r="N123" i="6"/>
  <c r="N291" i="6"/>
  <c r="N408" i="6"/>
  <c r="N427" i="6"/>
  <c r="N100" i="6"/>
  <c r="N456" i="6"/>
  <c r="N103" i="6"/>
  <c r="N125" i="6"/>
  <c r="N119" i="6"/>
  <c r="N464" i="6"/>
  <c r="N13" i="6"/>
  <c r="N329" i="6"/>
  <c r="N388" i="6"/>
  <c r="N264" i="6"/>
  <c r="N413" i="6"/>
  <c r="N249" i="6"/>
  <c r="N252" i="6"/>
  <c r="N297" i="6"/>
  <c r="N459" i="6"/>
  <c r="N403" i="6"/>
  <c r="N358" i="6"/>
  <c r="N348" i="6"/>
  <c r="N419" i="6"/>
  <c r="N220" i="6"/>
  <c r="N105" i="6"/>
  <c r="N330" i="6"/>
  <c r="N288" i="6"/>
  <c r="N50" i="6"/>
  <c r="N157" i="6"/>
  <c r="N231" i="6"/>
  <c r="N313" i="6"/>
  <c r="N363" i="6"/>
  <c r="N441" i="6"/>
  <c r="N163" i="6"/>
  <c r="N95" i="6"/>
  <c r="N429" i="6"/>
  <c r="N33" i="6"/>
  <c r="N61" i="6"/>
  <c r="N28" i="6"/>
  <c r="N70" i="6"/>
  <c r="N247" i="6"/>
  <c r="N279" i="6"/>
  <c r="N299" i="6"/>
  <c r="N197" i="6"/>
  <c r="N394" i="6"/>
  <c r="N389" i="6"/>
  <c r="N72" i="6"/>
  <c r="N445" i="6"/>
  <c r="N115" i="6"/>
  <c r="N60" i="6"/>
  <c r="N351" i="6"/>
  <c r="N44" i="6"/>
  <c r="N218" i="6"/>
  <c r="N274" i="6"/>
  <c r="N322" i="6"/>
  <c r="N175" i="6"/>
  <c r="N171" i="6"/>
  <c r="N166" i="6"/>
  <c r="N435" i="6"/>
  <c r="N177" i="6"/>
  <c r="N3" i="6"/>
  <c r="N149" i="6"/>
  <c r="N269" i="6"/>
  <c r="N212" i="6"/>
  <c r="N129" i="6"/>
  <c r="N127" i="6"/>
  <c r="N317" i="6"/>
  <c r="N31" i="6"/>
  <c r="N428" i="6"/>
  <c r="N304" i="6"/>
  <c r="N89" i="6"/>
  <c r="N258" i="6"/>
  <c r="N181" i="6"/>
  <c r="N447" i="6"/>
  <c r="N457" i="6"/>
  <c r="N217" i="6"/>
  <c r="N246" i="6"/>
  <c r="N150" i="6"/>
  <c r="N88" i="6"/>
  <c r="N45" i="6"/>
  <c r="N48" i="6"/>
  <c r="N5" i="6"/>
  <c r="N96" i="6"/>
  <c r="N190" i="6"/>
  <c r="N357" i="6"/>
  <c r="N193" i="6"/>
  <c r="N374" i="6"/>
  <c r="N184" i="6"/>
  <c r="N18" i="6"/>
  <c r="N35" i="6"/>
  <c r="N455" i="6"/>
  <c r="N334" i="6"/>
  <c r="N398" i="6"/>
  <c r="N66" i="6"/>
  <c r="N261" i="6"/>
  <c r="N114" i="6"/>
  <c r="N272" i="6"/>
  <c r="N402" i="6"/>
  <c r="N158" i="6"/>
  <c r="N338" i="6"/>
  <c r="N187" i="6"/>
  <c r="N254" i="6"/>
  <c r="N444" i="6"/>
  <c r="N393" i="6"/>
  <c r="N395" i="6"/>
  <c r="N380" i="6"/>
  <c r="N324" i="6"/>
  <c r="N22" i="6"/>
  <c r="N390" i="6"/>
  <c r="N225" i="6"/>
  <c r="N34" i="6"/>
  <c r="N238" i="6"/>
  <c r="N14" i="6"/>
  <c r="N454" i="6"/>
  <c r="N446" i="6"/>
  <c r="N378" i="6"/>
  <c r="N43" i="6"/>
  <c r="N406" i="6"/>
  <c r="N106" i="6"/>
  <c r="N341" i="6"/>
  <c r="N183" i="6"/>
  <c r="N20" i="6"/>
  <c r="N128" i="6"/>
  <c r="N308" i="6"/>
  <c r="N448" i="6"/>
  <c r="N168" i="6"/>
  <c r="N104" i="6"/>
  <c r="N161" i="6"/>
  <c r="N339" i="6"/>
  <c r="N276" i="6"/>
  <c r="N118" i="6"/>
  <c r="N113" i="6"/>
  <c r="N292" i="6"/>
  <c r="N224" i="6"/>
  <c r="N359" i="6"/>
  <c r="N391" i="6"/>
  <c r="N211" i="6"/>
  <c r="N91" i="6"/>
  <c r="N84" i="6"/>
  <c r="N303" i="6"/>
  <c r="N27" i="6"/>
  <c r="N366" i="6"/>
  <c r="N273" i="6"/>
  <c r="N7" i="6"/>
  <c r="N54" i="6"/>
  <c r="N432" i="6"/>
  <c r="N253" i="6"/>
  <c r="N259" i="6"/>
  <c r="N38" i="6"/>
  <c r="N49" i="6"/>
  <c r="N440" i="6"/>
  <c r="N94" i="6"/>
  <c r="N124" i="6"/>
  <c r="N41" i="6"/>
  <c r="N416" i="6"/>
  <c r="N287" i="6"/>
  <c r="N32" i="6"/>
  <c r="N194" i="6"/>
  <c r="N210" i="6"/>
  <c r="N235" i="6"/>
  <c r="N336" i="6"/>
  <c r="N257" i="6"/>
  <c r="N97" i="6"/>
  <c r="N295" i="6"/>
  <c r="N343" i="6"/>
  <c r="N346" i="6"/>
  <c r="N110" i="6"/>
  <c r="N251" i="6"/>
  <c r="N17" i="6"/>
  <c r="N458" i="6"/>
  <c r="N156" i="6"/>
  <c r="N160" i="6"/>
  <c r="N335" i="6"/>
  <c r="N167" i="6"/>
  <c r="N112" i="6"/>
  <c r="N153" i="6"/>
  <c r="N405" i="6"/>
  <c r="N135" i="6"/>
  <c r="N433" i="6"/>
  <c r="N30" i="6"/>
  <c r="N438" i="6"/>
  <c r="N412" i="6"/>
  <c r="N371" i="6"/>
  <c r="N424" i="6"/>
  <c r="N314" i="6"/>
  <c r="N92" i="6"/>
  <c r="N422" i="6"/>
  <c r="N451" i="6"/>
  <c r="N450" i="6"/>
  <c r="N202" i="6"/>
  <c r="N81" i="6"/>
  <c r="N361" i="6"/>
  <c r="N404" i="6"/>
  <c r="N141" i="6"/>
  <c r="N260" i="6"/>
  <c r="N411" i="6"/>
  <c r="N51" i="6"/>
  <c r="N148" i="6"/>
  <c r="N80" i="6"/>
  <c r="N425" i="6"/>
  <c r="N68" i="6"/>
  <c r="N65" i="6"/>
  <c r="N201" i="6"/>
  <c r="N67" i="6"/>
  <c r="N209" i="6"/>
  <c r="N326" i="6"/>
  <c r="N78" i="6"/>
  <c r="N307" i="6"/>
  <c r="N312" i="6"/>
  <c r="N192" i="6"/>
  <c r="N208" i="6"/>
  <c r="N377" i="6"/>
  <c r="N463" i="6"/>
  <c r="N198" i="6"/>
  <c r="N426" i="6"/>
  <c r="N214" i="6"/>
  <c r="N2" i="6"/>
  <c r="N320" i="6"/>
  <c r="N244" i="6"/>
  <c r="N349" i="6"/>
  <c r="N294" i="6"/>
  <c r="N111" i="6"/>
  <c r="N29" i="6"/>
  <c r="N154" i="6"/>
  <c r="N6" i="6"/>
  <c r="N215" i="6"/>
  <c r="N151" i="6"/>
  <c r="N375" i="6"/>
  <c r="N222" i="6"/>
  <c r="N145" i="6"/>
  <c r="N23" i="6"/>
  <c r="N289" i="6"/>
  <c r="N86" i="6"/>
  <c r="N306" i="6"/>
  <c r="N256" i="6"/>
  <c r="N213" i="6"/>
  <c r="N278" i="6"/>
  <c r="N300" i="6"/>
  <c r="N352" i="6"/>
  <c r="N319" i="6"/>
  <c r="N79" i="6"/>
  <c r="N76" i="6"/>
  <c r="N15" i="6"/>
  <c r="N83" i="6"/>
  <c r="N170" i="6"/>
  <c r="N241" i="6"/>
  <c r="N186" i="6"/>
  <c r="N143" i="6"/>
  <c r="N8" i="6"/>
  <c r="N52" i="6"/>
  <c r="N137" i="6"/>
  <c r="N268" i="6"/>
  <c r="N332" i="6"/>
  <c r="N418" i="6"/>
  <c r="N199" i="6"/>
  <c r="N226" i="6"/>
  <c r="N230" i="6"/>
  <c r="N146" i="6"/>
  <c r="N159" i="6"/>
  <c r="N142" i="6"/>
  <c r="N58" i="6"/>
  <c r="N360" i="6"/>
  <c r="N74" i="6"/>
  <c r="N365" i="6"/>
  <c r="N301" i="6"/>
  <c r="N196" i="6"/>
  <c r="N296" i="6"/>
  <c r="N4" i="6"/>
  <c r="N10" i="6"/>
  <c r="N36" i="6"/>
  <c r="N191" i="6"/>
  <c r="N265" i="6"/>
  <c r="N381" i="6"/>
  <c r="N116" i="6"/>
  <c r="N355" i="6"/>
  <c r="N325" i="6"/>
  <c r="N305" i="6"/>
  <c r="N396" i="6"/>
  <c r="N442" i="6"/>
  <c r="N368" i="6"/>
  <c r="N82" i="6"/>
  <c r="N144" i="6"/>
  <c r="N185" i="6"/>
  <c r="N16" i="6"/>
  <c r="O16" i="6" l="1"/>
  <c r="P16" i="6" s="1"/>
  <c r="O383" i="6"/>
  <c r="P383" i="6" s="1"/>
  <c r="O21" i="6"/>
  <c r="P21" i="6" s="1"/>
  <c r="O397" i="6"/>
  <c r="P397" i="6" s="1"/>
  <c r="O39" i="6"/>
  <c r="P39" i="6" s="1"/>
  <c r="O310" i="6"/>
  <c r="P310" i="6" s="1"/>
  <c r="O255" i="6"/>
  <c r="P255" i="6" s="1"/>
  <c r="O239" i="6"/>
  <c r="P239" i="6" s="1"/>
  <c r="O399" i="6"/>
  <c r="P399" i="6" s="1"/>
  <c r="O73" i="6"/>
  <c r="P73" i="6" s="1"/>
  <c r="O11" i="6"/>
  <c r="P11" i="6" s="1"/>
  <c r="O436" i="6"/>
  <c r="P436" i="6" s="1"/>
  <c r="O364" i="6"/>
  <c r="P364" i="6" s="1"/>
  <c r="O275" i="6"/>
  <c r="P275" i="6" s="1"/>
  <c r="O234" i="6"/>
  <c r="P234" i="6" s="1"/>
  <c r="O315" i="6"/>
  <c r="P315" i="6" s="1"/>
  <c r="O179" i="6"/>
  <c r="P179" i="6" s="1"/>
  <c r="O337" i="6"/>
  <c r="P337" i="6" s="1"/>
  <c r="O331" i="6"/>
  <c r="P331" i="6" s="1"/>
  <c r="O172" i="6"/>
  <c r="P172" i="6" s="1"/>
  <c r="O379" i="6"/>
  <c r="P379" i="6" s="1"/>
  <c r="O139" i="6"/>
  <c r="P139" i="6" s="1"/>
  <c r="O449" i="6"/>
  <c r="P449" i="6" s="1"/>
  <c r="O176" i="6"/>
  <c r="P176" i="6" s="1"/>
  <c r="O321" i="6"/>
  <c r="P321" i="6" s="1"/>
  <c r="O350" i="6"/>
  <c r="P350" i="6" s="1"/>
  <c r="O386" i="6"/>
  <c r="P386" i="6" s="1"/>
  <c r="O316" i="6"/>
  <c r="P316" i="6" s="1"/>
  <c r="O155" i="6"/>
  <c r="P155" i="6" s="1"/>
  <c r="O223" i="6"/>
  <c r="P223" i="6" s="1"/>
  <c r="O131" i="6"/>
  <c r="P131" i="6" s="1"/>
  <c r="O24" i="6"/>
  <c r="P24" i="6" s="1"/>
  <c r="O430" i="6"/>
  <c r="P430" i="6" s="1"/>
  <c r="O53" i="6"/>
  <c r="P53" i="6" s="1"/>
  <c r="O206" i="6"/>
  <c r="P206" i="6" s="1"/>
  <c r="O434" i="6"/>
  <c r="P434" i="6" s="1"/>
  <c r="O409" i="6"/>
  <c r="P409" i="6" s="1"/>
  <c r="O236" i="6"/>
  <c r="P236" i="6" s="1"/>
  <c r="O248" i="6"/>
  <c r="P248" i="6" s="1"/>
  <c r="O93" i="6"/>
  <c r="P93" i="6" s="1"/>
  <c r="O132" i="6"/>
  <c r="P132" i="6" s="1"/>
  <c r="O376" i="6"/>
  <c r="P376" i="6" s="1"/>
  <c r="O59" i="6"/>
  <c r="P59" i="6" s="1"/>
  <c r="O340" i="6"/>
  <c r="P340" i="6" s="1"/>
  <c r="O431" i="6"/>
  <c r="P431" i="6" s="1"/>
  <c r="O423" i="6"/>
  <c r="P423" i="6" s="1"/>
  <c r="O354" i="6"/>
  <c r="P354" i="6" s="1"/>
  <c r="O282" i="6"/>
  <c r="P282" i="6" s="1"/>
  <c r="O392" i="6"/>
  <c r="P392" i="6" s="1"/>
  <c r="O188" i="6"/>
  <c r="P188" i="6" s="1"/>
  <c r="O133" i="6"/>
  <c r="P133" i="6" s="1"/>
  <c r="O122" i="6"/>
  <c r="P122" i="6" s="1"/>
  <c r="O85" i="6"/>
  <c r="P85" i="6" s="1"/>
  <c r="O47" i="6"/>
  <c r="P47" i="6" s="1"/>
  <c r="O342" i="6"/>
  <c r="P342" i="6" s="1"/>
  <c r="O311" i="6"/>
  <c r="P311" i="6" s="1"/>
  <c r="O452" i="6"/>
  <c r="P452" i="6" s="1"/>
  <c r="O290" i="6"/>
  <c r="P290" i="6" s="1"/>
  <c r="O353" i="6"/>
  <c r="P353" i="6" s="1"/>
  <c r="O347" i="6"/>
  <c r="P347" i="6" s="1"/>
  <c r="O263" i="6"/>
  <c r="P263" i="6" s="1"/>
  <c r="O460" i="6"/>
  <c r="P460" i="6" s="1"/>
  <c r="O134" i="6"/>
  <c r="P134" i="6" s="1"/>
  <c r="O267" i="6"/>
  <c r="P267" i="6" s="1"/>
  <c r="O147" i="6"/>
  <c r="P147" i="6" s="1"/>
  <c r="O107" i="6"/>
  <c r="P107" i="6" s="1"/>
  <c r="O323" i="6"/>
  <c r="P323" i="6" s="1"/>
  <c r="O164" i="6"/>
  <c r="P164" i="6" s="1"/>
  <c r="O126" i="6"/>
  <c r="P126" i="6" s="1"/>
  <c r="O284" i="6"/>
  <c r="P284" i="6" s="1"/>
  <c r="O245" i="6"/>
  <c r="P245" i="6" s="1"/>
  <c r="O271" i="6"/>
  <c r="P271" i="6" s="1"/>
  <c r="O101" i="6"/>
  <c r="P101" i="6" s="1"/>
  <c r="O233" i="6"/>
  <c r="P233" i="6" s="1"/>
  <c r="O56" i="6"/>
  <c r="P56" i="6" s="1"/>
  <c r="O373" i="6"/>
  <c r="P373" i="6" s="1"/>
  <c r="O328" i="6"/>
  <c r="P328" i="6" s="1"/>
  <c r="O9" i="6"/>
  <c r="P9" i="6" s="1"/>
  <c r="O250" i="6"/>
  <c r="P250" i="6" s="1"/>
  <c r="O367" i="6"/>
  <c r="P367" i="6" s="1"/>
  <c r="O55" i="6"/>
  <c r="P55" i="6" s="1"/>
  <c r="O242" i="6"/>
  <c r="P242" i="6" s="1"/>
  <c r="O42" i="6"/>
  <c r="P42" i="6" s="1"/>
  <c r="O421" i="6"/>
  <c r="P421" i="6" s="1"/>
  <c r="O108" i="6"/>
  <c r="P108" i="6" s="1"/>
  <c r="O302" i="6"/>
  <c r="P302" i="6" s="1"/>
  <c r="O318" i="6"/>
  <c r="P318" i="6" s="1"/>
  <c r="O12" i="6"/>
  <c r="P12" i="6" s="1"/>
  <c r="O420" i="6"/>
  <c r="P420" i="6" s="1"/>
  <c r="O77" i="6"/>
  <c r="P77" i="6" s="1"/>
  <c r="O356" i="6"/>
  <c r="P356" i="6" s="1"/>
  <c r="O437" i="6"/>
  <c r="P437" i="6" s="1"/>
  <c r="O216" i="6"/>
  <c r="P216" i="6" s="1"/>
  <c r="O285" i="6"/>
  <c r="P285" i="6" s="1"/>
  <c r="O293" i="6"/>
  <c r="P293" i="6" s="1"/>
  <c r="O138" i="6"/>
  <c r="P138" i="6" s="1"/>
  <c r="O410" i="6"/>
  <c r="P410" i="6" s="1"/>
  <c r="O99" i="6"/>
  <c r="P99" i="6" s="1"/>
  <c r="O414" i="6"/>
  <c r="P414" i="6" s="1"/>
  <c r="O207" i="6"/>
  <c r="P207" i="6" s="1"/>
  <c r="O345" i="6"/>
  <c r="P345" i="6" s="1"/>
  <c r="O203" i="6"/>
  <c r="P203" i="6" s="1"/>
  <c r="O40" i="6"/>
  <c r="P40" i="6" s="1"/>
  <c r="O87" i="6"/>
  <c r="P87" i="6" s="1"/>
  <c r="O165" i="6"/>
  <c r="P165" i="6" s="1"/>
  <c r="O37" i="6"/>
  <c r="P37" i="6" s="1"/>
  <c r="O178" i="6"/>
  <c r="P178" i="6" s="1"/>
  <c r="O344" i="6"/>
  <c r="P344" i="6" s="1"/>
  <c r="O180" i="6"/>
  <c r="P180" i="6" s="1"/>
  <c r="O227" i="6"/>
  <c r="P227" i="6" s="1"/>
  <c r="O169" i="6"/>
  <c r="P169" i="6" s="1"/>
  <c r="O189" i="6"/>
  <c r="P189" i="6" s="1"/>
  <c r="O174" i="6"/>
  <c r="P174" i="6" s="1"/>
  <c r="O136" i="6"/>
  <c r="P136" i="6" s="1"/>
  <c r="O182" i="6"/>
  <c r="P182" i="6" s="1"/>
  <c r="O130" i="6"/>
  <c r="P130" i="6" s="1"/>
  <c r="O453" i="6"/>
  <c r="P453" i="6" s="1"/>
  <c r="O98" i="6"/>
  <c r="P98" i="6" s="1"/>
  <c r="O162" i="6"/>
  <c r="P162" i="6" s="1"/>
  <c r="O439" i="6"/>
  <c r="P439" i="6" s="1"/>
  <c r="O462" i="6"/>
  <c r="P462" i="6" s="1"/>
  <c r="O309" i="6"/>
  <c r="P309" i="6" s="1"/>
  <c r="O385" i="6"/>
  <c r="P385" i="6" s="1"/>
  <c r="O283" i="6"/>
  <c r="P283" i="6" s="1"/>
  <c r="O69" i="6"/>
  <c r="P69" i="6" s="1"/>
  <c r="O140" i="6"/>
  <c r="P140" i="6" s="1"/>
  <c r="O120" i="6"/>
  <c r="P120" i="6" s="1"/>
  <c r="O228" i="6"/>
  <c r="P228" i="6" s="1"/>
  <c r="O205" i="6"/>
  <c r="P205" i="6" s="1"/>
  <c r="O262" i="6"/>
  <c r="P262" i="6" s="1"/>
  <c r="O415" i="6"/>
  <c r="P415" i="6" s="1"/>
  <c r="O417" i="6"/>
  <c r="P417" i="6" s="1"/>
  <c r="O57" i="6"/>
  <c r="P57" i="6" s="1"/>
  <c r="O232" i="6"/>
  <c r="P232" i="6" s="1"/>
  <c r="O64" i="6"/>
  <c r="P64" i="6" s="1"/>
  <c r="O298" i="6"/>
  <c r="P298" i="6" s="1"/>
  <c r="O372" i="6"/>
  <c r="P372" i="6" s="1"/>
  <c r="O384" i="6"/>
  <c r="P384" i="6" s="1"/>
  <c r="O25" i="6"/>
  <c r="P25" i="6" s="1"/>
  <c r="O195" i="6"/>
  <c r="P195" i="6" s="1"/>
  <c r="O237" i="6"/>
  <c r="P237" i="6" s="1"/>
  <c r="O280" i="6"/>
  <c r="P280" i="6" s="1"/>
  <c r="O333" i="6"/>
  <c r="P333" i="6" s="1"/>
  <c r="O26" i="6"/>
  <c r="P26" i="6" s="1"/>
  <c r="O387" i="6"/>
  <c r="P387" i="6" s="1"/>
  <c r="O46" i="6"/>
  <c r="P46" i="6" s="1"/>
  <c r="O369" i="6"/>
  <c r="P369" i="6" s="1"/>
  <c r="O109" i="6"/>
  <c r="P109" i="6" s="1"/>
  <c r="O62" i="6"/>
  <c r="P62" i="6" s="1"/>
  <c r="O71" i="6"/>
  <c r="P71" i="6" s="1"/>
  <c r="O117" i="6"/>
  <c r="P117" i="6" s="1"/>
  <c r="O121" i="6"/>
  <c r="P121" i="6" s="1"/>
  <c r="O75" i="6"/>
  <c r="P75" i="6" s="1"/>
  <c r="O277" i="6"/>
  <c r="P277" i="6" s="1"/>
  <c r="O204" i="6"/>
  <c r="P204" i="6" s="1"/>
  <c r="O221" i="6"/>
  <c r="P221" i="6" s="1"/>
  <c r="O400" i="6"/>
  <c r="P400" i="6" s="1"/>
  <c r="O281" i="6"/>
  <c r="P281" i="6" s="1"/>
  <c r="O243" i="6"/>
  <c r="P243" i="6" s="1"/>
  <c r="O63" i="6"/>
  <c r="P63" i="6" s="1"/>
  <c r="O200" i="6"/>
  <c r="P200" i="6" s="1"/>
  <c r="O461" i="6"/>
  <c r="P461" i="6" s="1"/>
  <c r="O407" i="6"/>
  <c r="P407" i="6" s="1"/>
  <c r="O90" i="6"/>
  <c r="P90" i="6" s="1"/>
  <c r="O219" i="6"/>
  <c r="P219" i="6" s="1"/>
  <c r="O173" i="6"/>
  <c r="P173" i="6" s="1"/>
  <c r="O270" i="6"/>
  <c r="P270" i="6" s="1"/>
  <c r="O327" i="6"/>
  <c r="P327" i="6" s="1"/>
  <c r="O443" i="6"/>
  <c r="P443" i="6" s="1"/>
  <c r="O286" i="6"/>
  <c r="P286" i="6" s="1"/>
  <c r="O401" i="6"/>
  <c r="P401" i="6" s="1"/>
  <c r="O266" i="6"/>
  <c r="P266" i="6" s="1"/>
  <c r="O152" i="6"/>
  <c r="P152" i="6" s="1"/>
  <c r="O370" i="6"/>
  <c r="P370" i="6" s="1"/>
  <c r="O382" i="6"/>
  <c r="P382" i="6" s="1"/>
  <c r="O240" i="6"/>
  <c r="P240" i="6" s="1"/>
  <c r="O19" i="6"/>
  <c r="P19" i="6" s="1"/>
  <c r="O362" i="6"/>
  <c r="P362" i="6" s="1"/>
  <c r="O229" i="6"/>
  <c r="P229" i="6" s="1"/>
  <c r="O102" i="6"/>
  <c r="P102" i="6" s="1"/>
  <c r="O123" i="6"/>
  <c r="P123" i="6" s="1"/>
  <c r="O291" i="6"/>
  <c r="P291" i="6" s="1"/>
  <c r="O408" i="6"/>
  <c r="P408" i="6" s="1"/>
  <c r="O427" i="6"/>
  <c r="P427" i="6" s="1"/>
  <c r="O100" i="6"/>
  <c r="P100" i="6" s="1"/>
  <c r="O456" i="6"/>
  <c r="P456" i="6" s="1"/>
  <c r="O103" i="6"/>
  <c r="P103" i="6" s="1"/>
  <c r="O125" i="6"/>
  <c r="P125" i="6" s="1"/>
  <c r="O119" i="6"/>
  <c r="P119" i="6" s="1"/>
  <c r="O464" i="6"/>
  <c r="P464" i="6" s="1"/>
  <c r="O13" i="6"/>
  <c r="P13" i="6" s="1"/>
  <c r="O329" i="6"/>
  <c r="P329" i="6" s="1"/>
  <c r="O388" i="6"/>
  <c r="P388" i="6" s="1"/>
  <c r="O264" i="6"/>
  <c r="P264" i="6" s="1"/>
  <c r="O413" i="6"/>
  <c r="P413" i="6" s="1"/>
  <c r="O249" i="6"/>
  <c r="P249" i="6" s="1"/>
  <c r="O252" i="6"/>
  <c r="P252" i="6" s="1"/>
  <c r="O297" i="6"/>
  <c r="P297" i="6" s="1"/>
  <c r="O459" i="6"/>
  <c r="P459" i="6" s="1"/>
  <c r="O403" i="6"/>
  <c r="P403" i="6" s="1"/>
  <c r="O358" i="6"/>
  <c r="P358" i="6" s="1"/>
  <c r="O348" i="6"/>
  <c r="P348" i="6" s="1"/>
  <c r="O419" i="6"/>
  <c r="P419" i="6" s="1"/>
  <c r="O220" i="6"/>
  <c r="P220" i="6" s="1"/>
  <c r="O105" i="6"/>
  <c r="P105" i="6" s="1"/>
  <c r="O330" i="6"/>
  <c r="P330" i="6" s="1"/>
  <c r="O288" i="6"/>
  <c r="P288" i="6" s="1"/>
  <c r="O50" i="6"/>
  <c r="P50" i="6" s="1"/>
  <c r="O157" i="6"/>
  <c r="P157" i="6" s="1"/>
  <c r="O231" i="6"/>
  <c r="P231" i="6" s="1"/>
  <c r="O313" i="6"/>
  <c r="P313" i="6" s="1"/>
  <c r="O363" i="6"/>
  <c r="P363" i="6" s="1"/>
  <c r="O441" i="6"/>
  <c r="P441" i="6" s="1"/>
  <c r="O163" i="6"/>
  <c r="P163" i="6" s="1"/>
  <c r="O95" i="6"/>
  <c r="P95" i="6" s="1"/>
  <c r="O429" i="6"/>
  <c r="P429" i="6" s="1"/>
  <c r="O33" i="6"/>
  <c r="P33" i="6" s="1"/>
  <c r="O61" i="6"/>
  <c r="P61" i="6" s="1"/>
  <c r="O28" i="6"/>
  <c r="P28" i="6" s="1"/>
  <c r="O70" i="6"/>
  <c r="P70" i="6" s="1"/>
  <c r="O247" i="6"/>
  <c r="P247" i="6" s="1"/>
  <c r="O279" i="6"/>
  <c r="P279" i="6" s="1"/>
  <c r="O299" i="6"/>
  <c r="P299" i="6" s="1"/>
  <c r="O197" i="6"/>
  <c r="P197" i="6" s="1"/>
  <c r="O394" i="6"/>
  <c r="P394" i="6" s="1"/>
  <c r="O389" i="6"/>
  <c r="P389" i="6" s="1"/>
  <c r="O72" i="6"/>
  <c r="P72" i="6" s="1"/>
  <c r="O445" i="6"/>
  <c r="P445" i="6" s="1"/>
  <c r="O115" i="6"/>
  <c r="P115" i="6" s="1"/>
  <c r="O60" i="6"/>
  <c r="P60" i="6" s="1"/>
  <c r="O351" i="6"/>
  <c r="P351" i="6" s="1"/>
  <c r="O44" i="6"/>
  <c r="P44" i="6" s="1"/>
  <c r="O218" i="6"/>
  <c r="P218" i="6" s="1"/>
  <c r="O274" i="6"/>
  <c r="P274" i="6" s="1"/>
  <c r="O322" i="6"/>
  <c r="P322" i="6" s="1"/>
  <c r="O175" i="6"/>
  <c r="P175" i="6" s="1"/>
  <c r="O171" i="6"/>
  <c r="P171" i="6" s="1"/>
  <c r="O166" i="6"/>
  <c r="P166" i="6" s="1"/>
  <c r="O435" i="6"/>
  <c r="P435" i="6" s="1"/>
  <c r="O177" i="6"/>
  <c r="P177" i="6" s="1"/>
  <c r="O3" i="6"/>
  <c r="P3" i="6" s="1"/>
  <c r="O149" i="6"/>
  <c r="P149" i="6" s="1"/>
  <c r="O269" i="6"/>
  <c r="P269" i="6" s="1"/>
  <c r="O212" i="6"/>
  <c r="P212" i="6" s="1"/>
  <c r="O129" i="6"/>
  <c r="P129" i="6" s="1"/>
  <c r="O127" i="6"/>
  <c r="P127" i="6" s="1"/>
  <c r="O317" i="6"/>
  <c r="P317" i="6" s="1"/>
  <c r="O31" i="6"/>
  <c r="P31" i="6" s="1"/>
  <c r="O428" i="6"/>
  <c r="P428" i="6" s="1"/>
  <c r="O304" i="6"/>
  <c r="P304" i="6" s="1"/>
  <c r="O89" i="6"/>
  <c r="P89" i="6" s="1"/>
  <c r="O258" i="6"/>
  <c r="P258" i="6" s="1"/>
  <c r="O181" i="6"/>
  <c r="P181" i="6" s="1"/>
  <c r="O447" i="6"/>
  <c r="P447" i="6" s="1"/>
  <c r="O457" i="6"/>
  <c r="P457" i="6" s="1"/>
  <c r="O217" i="6"/>
  <c r="P217" i="6" s="1"/>
  <c r="O246" i="6"/>
  <c r="P246" i="6" s="1"/>
  <c r="O150" i="6"/>
  <c r="P150" i="6" s="1"/>
  <c r="O88" i="6"/>
  <c r="P88" i="6" s="1"/>
  <c r="O45" i="6"/>
  <c r="P45" i="6" s="1"/>
  <c r="O48" i="6"/>
  <c r="P48" i="6" s="1"/>
  <c r="O5" i="6"/>
  <c r="P5" i="6" s="1"/>
  <c r="O96" i="6"/>
  <c r="P96" i="6" s="1"/>
  <c r="O190" i="6"/>
  <c r="P190" i="6" s="1"/>
  <c r="O357" i="6"/>
  <c r="P357" i="6" s="1"/>
  <c r="O193" i="6"/>
  <c r="P193" i="6" s="1"/>
  <c r="O374" i="6"/>
  <c r="P374" i="6" s="1"/>
  <c r="O184" i="6"/>
  <c r="P184" i="6" s="1"/>
  <c r="O18" i="6"/>
  <c r="P18" i="6" s="1"/>
  <c r="O35" i="6"/>
  <c r="P35" i="6" s="1"/>
  <c r="O455" i="6"/>
  <c r="P455" i="6" s="1"/>
  <c r="O334" i="6"/>
  <c r="P334" i="6" s="1"/>
  <c r="O398" i="6"/>
  <c r="P398" i="6" s="1"/>
  <c r="O66" i="6"/>
  <c r="P66" i="6" s="1"/>
  <c r="O261" i="6"/>
  <c r="P261" i="6" s="1"/>
  <c r="O114" i="6"/>
  <c r="P114" i="6" s="1"/>
  <c r="O272" i="6"/>
  <c r="P272" i="6" s="1"/>
  <c r="O402" i="6"/>
  <c r="P402" i="6" s="1"/>
  <c r="O158" i="6"/>
  <c r="P158" i="6" s="1"/>
  <c r="O338" i="6"/>
  <c r="P338" i="6" s="1"/>
  <c r="O187" i="6"/>
  <c r="P187" i="6" s="1"/>
  <c r="O254" i="6"/>
  <c r="P254" i="6" s="1"/>
  <c r="O444" i="6"/>
  <c r="P444" i="6" s="1"/>
  <c r="O393" i="6"/>
  <c r="P393" i="6" s="1"/>
  <c r="O395" i="6"/>
  <c r="P395" i="6" s="1"/>
  <c r="O380" i="6"/>
  <c r="P380" i="6" s="1"/>
  <c r="O324" i="6"/>
  <c r="P324" i="6" s="1"/>
  <c r="O22" i="6"/>
  <c r="P22" i="6" s="1"/>
  <c r="O390" i="6"/>
  <c r="P390" i="6" s="1"/>
  <c r="O225" i="6"/>
  <c r="P225" i="6" s="1"/>
  <c r="O34" i="6"/>
  <c r="P34" i="6" s="1"/>
  <c r="O238" i="6"/>
  <c r="P238" i="6" s="1"/>
  <c r="O14" i="6"/>
  <c r="P14" i="6" s="1"/>
  <c r="O454" i="6"/>
  <c r="P454" i="6" s="1"/>
  <c r="O446" i="6"/>
  <c r="P446" i="6" s="1"/>
  <c r="O378" i="6"/>
  <c r="P378" i="6" s="1"/>
  <c r="O43" i="6"/>
  <c r="P43" i="6" s="1"/>
  <c r="O406" i="6"/>
  <c r="P406" i="6" s="1"/>
  <c r="O106" i="6"/>
  <c r="P106" i="6" s="1"/>
  <c r="O341" i="6"/>
  <c r="P341" i="6" s="1"/>
  <c r="O183" i="6"/>
  <c r="P183" i="6" s="1"/>
  <c r="O20" i="6"/>
  <c r="P20" i="6" s="1"/>
  <c r="O128" i="6"/>
  <c r="P128" i="6" s="1"/>
  <c r="O308" i="6"/>
  <c r="P308" i="6" s="1"/>
  <c r="O448" i="6"/>
  <c r="P448" i="6" s="1"/>
  <c r="O168" i="6"/>
  <c r="P168" i="6" s="1"/>
  <c r="O104" i="6"/>
  <c r="P104" i="6" s="1"/>
  <c r="O161" i="6"/>
  <c r="P161" i="6" s="1"/>
  <c r="O339" i="6"/>
  <c r="P339" i="6" s="1"/>
  <c r="O276" i="6"/>
  <c r="P276" i="6" s="1"/>
  <c r="O118" i="6"/>
  <c r="P118" i="6" s="1"/>
  <c r="O113" i="6"/>
  <c r="P113" i="6" s="1"/>
  <c r="O292" i="6"/>
  <c r="P292" i="6" s="1"/>
  <c r="O224" i="6"/>
  <c r="P224" i="6" s="1"/>
  <c r="O359" i="6"/>
  <c r="P359" i="6" s="1"/>
  <c r="O391" i="6"/>
  <c r="P391" i="6" s="1"/>
  <c r="O211" i="6"/>
  <c r="P211" i="6" s="1"/>
  <c r="O91" i="6"/>
  <c r="P91" i="6" s="1"/>
  <c r="O84" i="6"/>
  <c r="P84" i="6" s="1"/>
  <c r="O303" i="6"/>
  <c r="P303" i="6" s="1"/>
  <c r="O27" i="6"/>
  <c r="P27" i="6" s="1"/>
  <c r="O366" i="6"/>
  <c r="P366" i="6" s="1"/>
  <c r="O273" i="6"/>
  <c r="P273" i="6" s="1"/>
  <c r="O7" i="6"/>
  <c r="P7" i="6" s="1"/>
  <c r="O54" i="6"/>
  <c r="P54" i="6" s="1"/>
  <c r="O432" i="6"/>
  <c r="P432" i="6" s="1"/>
  <c r="O253" i="6"/>
  <c r="P253" i="6" s="1"/>
  <c r="O259" i="6"/>
  <c r="P259" i="6" s="1"/>
  <c r="O38" i="6"/>
  <c r="P38" i="6" s="1"/>
  <c r="O49" i="6"/>
  <c r="P49" i="6" s="1"/>
  <c r="O440" i="6"/>
  <c r="P440" i="6" s="1"/>
  <c r="O94" i="6"/>
  <c r="P94" i="6" s="1"/>
  <c r="O124" i="6"/>
  <c r="P124" i="6" s="1"/>
  <c r="O41" i="6"/>
  <c r="P41" i="6" s="1"/>
  <c r="O416" i="6"/>
  <c r="P416" i="6" s="1"/>
  <c r="O287" i="6"/>
  <c r="P287" i="6" s="1"/>
  <c r="O32" i="6"/>
  <c r="P32" i="6" s="1"/>
  <c r="O194" i="6"/>
  <c r="P194" i="6" s="1"/>
  <c r="O210" i="6"/>
  <c r="P210" i="6" s="1"/>
  <c r="O235" i="6"/>
  <c r="P235" i="6" s="1"/>
  <c r="O336" i="6"/>
  <c r="P336" i="6" s="1"/>
  <c r="O257" i="6"/>
  <c r="P257" i="6" s="1"/>
  <c r="O97" i="6"/>
  <c r="P97" i="6" s="1"/>
  <c r="O295" i="6"/>
  <c r="P295" i="6" s="1"/>
  <c r="O343" i="6"/>
  <c r="P343" i="6" s="1"/>
  <c r="O346" i="6"/>
  <c r="P346" i="6" s="1"/>
  <c r="O110" i="6"/>
  <c r="P110" i="6" s="1"/>
  <c r="O251" i="6"/>
  <c r="P251" i="6" s="1"/>
  <c r="O17" i="6"/>
  <c r="P17" i="6" s="1"/>
  <c r="O458" i="6"/>
  <c r="P458" i="6" s="1"/>
  <c r="O156" i="6"/>
  <c r="P156" i="6" s="1"/>
  <c r="O160" i="6"/>
  <c r="P160" i="6" s="1"/>
  <c r="O335" i="6"/>
  <c r="P335" i="6" s="1"/>
  <c r="O167" i="6"/>
  <c r="P167" i="6" s="1"/>
  <c r="O112" i="6"/>
  <c r="P112" i="6" s="1"/>
  <c r="O153" i="6"/>
  <c r="P153" i="6" s="1"/>
  <c r="O405" i="6"/>
  <c r="P405" i="6" s="1"/>
  <c r="O135" i="6"/>
  <c r="P135" i="6" s="1"/>
  <c r="O433" i="6"/>
  <c r="P433" i="6" s="1"/>
  <c r="O30" i="6"/>
  <c r="P30" i="6" s="1"/>
  <c r="O438" i="6"/>
  <c r="P438" i="6" s="1"/>
  <c r="O412" i="6"/>
  <c r="P412" i="6" s="1"/>
  <c r="O371" i="6"/>
  <c r="P371" i="6" s="1"/>
  <c r="O424" i="6"/>
  <c r="P424" i="6" s="1"/>
  <c r="O314" i="6"/>
  <c r="P314" i="6" s="1"/>
  <c r="O92" i="6"/>
  <c r="P92" i="6" s="1"/>
  <c r="O422" i="6"/>
  <c r="P422" i="6" s="1"/>
  <c r="O451" i="6"/>
  <c r="P451" i="6" s="1"/>
  <c r="O450" i="6"/>
  <c r="P450" i="6" s="1"/>
  <c r="O202" i="6"/>
  <c r="P202" i="6" s="1"/>
  <c r="O81" i="6"/>
  <c r="P81" i="6" s="1"/>
  <c r="O361" i="6"/>
  <c r="P361" i="6" s="1"/>
  <c r="O404" i="6"/>
  <c r="P404" i="6" s="1"/>
  <c r="O141" i="6"/>
  <c r="P141" i="6" s="1"/>
  <c r="O260" i="6"/>
  <c r="P260" i="6" s="1"/>
  <c r="O411" i="6"/>
  <c r="P411" i="6" s="1"/>
  <c r="O51" i="6"/>
  <c r="P51" i="6" s="1"/>
  <c r="O148" i="6"/>
  <c r="P148" i="6" s="1"/>
  <c r="O80" i="6"/>
  <c r="P80" i="6" s="1"/>
  <c r="O425" i="6"/>
  <c r="P425" i="6" s="1"/>
  <c r="O68" i="6"/>
  <c r="P68" i="6" s="1"/>
  <c r="O65" i="6"/>
  <c r="P65" i="6" s="1"/>
  <c r="O201" i="6"/>
  <c r="P201" i="6" s="1"/>
  <c r="O67" i="6"/>
  <c r="P67" i="6" s="1"/>
  <c r="O209" i="6"/>
  <c r="P209" i="6" s="1"/>
  <c r="O326" i="6"/>
  <c r="P326" i="6" s="1"/>
  <c r="O78" i="6"/>
  <c r="P78" i="6" s="1"/>
  <c r="O307" i="6"/>
  <c r="P307" i="6" s="1"/>
  <c r="O312" i="6"/>
  <c r="P312" i="6" s="1"/>
  <c r="O192" i="6"/>
  <c r="P192" i="6" s="1"/>
  <c r="O208" i="6"/>
  <c r="P208" i="6" s="1"/>
  <c r="O377" i="6"/>
  <c r="P377" i="6" s="1"/>
  <c r="O463" i="6"/>
  <c r="P463" i="6" s="1"/>
  <c r="O198" i="6"/>
  <c r="P198" i="6" s="1"/>
  <c r="O426" i="6"/>
  <c r="P426" i="6" s="1"/>
  <c r="O214" i="6"/>
  <c r="P214" i="6" s="1"/>
  <c r="O2" i="6"/>
  <c r="P2" i="6" s="1"/>
  <c r="O320" i="6"/>
  <c r="P320" i="6" s="1"/>
  <c r="O244" i="6"/>
  <c r="P244" i="6" s="1"/>
  <c r="O349" i="6"/>
  <c r="P349" i="6" s="1"/>
  <c r="O294" i="6"/>
  <c r="P294" i="6" s="1"/>
  <c r="O111" i="6"/>
  <c r="P111" i="6" s="1"/>
  <c r="O29" i="6"/>
  <c r="P29" i="6" s="1"/>
  <c r="O154" i="6"/>
  <c r="P154" i="6" s="1"/>
  <c r="O6" i="6"/>
  <c r="P6" i="6" s="1"/>
  <c r="O215" i="6"/>
  <c r="P215" i="6" s="1"/>
  <c r="O151" i="6"/>
  <c r="P151" i="6" s="1"/>
  <c r="O375" i="6"/>
  <c r="P375" i="6" s="1"/>
  <c r="O222" i="6"/>
  <c r="P222" i="6" s="1"/>
  <c r="O145" i="6"/>
  <c r="P145" i="6" s="1"/>
  <c r="O23" i="6"/>
  <c r="P23" i="6" s="1"/>
  <c r="O289" i="6"/>
  <c r="P289" i="6" s="1"/>
  <c r="O86" i="6"/>
  <c r="P86" i="6" s="1"/>
  <c r="O306" i="6"/>
  <c r="P306" i="6" s="1"/>
  <c r="O256" i="6"/>
  <c r="P256" i="6" s="1"/>
  <c r="O213" i="6"/>
  <c r="P213" i="6" s="1"/>
  <c r="O278" i="6"/>
  <c r="P278" i="6" s="1"/>
  <c r="O300" i="6"/>
  <c r="P300" i="6" s="1"/>
  <c r="O352" i="6"/>
  <c r="P352" i="6" s="1"/>
  <c r="O319" i="6"/>
  <c r="P319" i="6" s="1"/>
  <c r="O79" i="6"/>
  <c r="P79" i="6" s="1"/>
  <c r="O76" i="6"/>
  <c r="P76" i="6" s="1"/>
  <c r="O15" i="6"/>
  <c r="P15" i="6" s="1"/>
  <c r="O83" i="6"/>
  <c r="P83" i="6" s="1"/>
  <c r="O170" i="6"/>
  <c r="P170" i="6" s="1"/>
  <c r="O241" i="6"/>
  <c r="P241" i="6" s="1"/>
  <c r="O186" i="6"/>
  <c r="P186" i="6" s="1"/>
  <c r="O143" i="6"/>
  <c r="P143" i="6" s="1"/>
  <c r="O8" i="6"/>
  <c r="P8" i="6" s="1"/>
  <c r="O52" i="6"/>
  <c r="P52" i="6" s="1"/>
  <c r="O137" i="6"/>
  <c r="P137" i="6" s="1"/>
  <c r="O268" i="6"/>
  <c r="P268" i="6" s="1"/>
  <c r="O332" i="6"/>
  <c r="P332" i="6" s="1"/>
  <c r="O418" i="6"/>
  <c r="P418" i="6" s="1"/>
  <c r="O199" i="6"/>
  <c r="P199" i="6" s="1"/>
  <c r="O226" i="6"/>
  <c r="P226" i="6" s="1"/>
  <c r="O230" i="6"/>
  <c r="P230" i="6" s="1"/>
  <c r="O146" i="6"/>
  <c r="P146" i="6" s="1"/>
  <c r="O159" i="6"/>
  <c r="P159" i="6" s="1"/>
  <c r="O142" i="6"/>
  <c r="P142" i="6" s="1"/>
  <c r="O58" i="6"/>
  <c r="P58" i="6" s="1"/>
  <c r="O360" i="6"/>
  <c r="P360" i="6" s="1"/>
  <c r="O74" i="6"/>
  <c r="P74" i="6" s="1"/>
  <c r="O365" i="6"/>
  <c r="P365" i="6" s="1"/>
  <c r="O301" i="6"/>
  <c r="P301" i="6" s="1"/>
  <c r="O196" i="6"/>
  <c r="P196" i="6" s="1"/>
  <c r="O296" i="6"/>
  <c r="P296" i="6" s="1"/>
  <c r="O4" i="6"/>
  <c r="P4" i="6" s="1"/>
  <c r="O10" i="6"/>
  <c r="P10" i="6" s="1"/>
  <c r="O36" i="6"/>
  <c r="P36" i="6" s="1"/>
  <c r="O191" i="6"/>
  <c r="P191" i="6" s="1"/>
  <c r="O265" i="6"/>
  <c r="P265" i="6" s="1"/>
  <c r="O381" i="6"/>
  <c r="P381" i="6" s="1"/>
  <c r="O116" i="6"/>
  <c r="P116" i="6" s="1"/>
  <c r="O355" i="6"/>
  <c r="P355" i="6" s="1"/>
  <c r="O325" i="6"/>
  <c r="P325" i="6" s="1"/>
  <c r="O305" i="6"/>
  <c r="P305" i="6" s="1"/>
  <c r="O396" i="6"/>
  <c r="P396" i="6" s="1"/>
  <c r="O442" i="6"/>
  <c r="P442" i="6" s="1"/>
  <c r="O368" i="6"/>
  <c r="P368" i="6" s="1"/>
  <c r="O82" i="6"/>
  <c r="P82" i="6" s="1"/>
  <c r="O144" i="6"/>
  <c r="P144" i="6" s="1"/>
  <c r="O185" i="6"/>
  <c r="P185" i="6" s="1"/>
  <c r="G9" i="9" l="1"/>
  <c r="G8" i="15" s="1"/>
  <c r="Q16" i="6"/>
  <c r="Q383" i="6"/>
  <c r="Q21" i="6"/>
  <c r="Q397" i="6"/>
  <c r="Q39" i="6"/>
  <c r="Q310" i="6"/>
  <c r="Q255" i="6"/>
  <c r="Q239" i="6"/>
  <c r="Q399" i="6"/>
  <c r="Q73" i="6"/>
  <c r="Q11" i="6"/>
  <c r="Q436" i="6"/>
  <c r="Q364" i="6"/>
  <c r="Q275" i="6"/>
  <c r="Q234" i="6"/>
  <c r="Q315" i="6"/>
  <c r="Q179" i="6"/>
  <c r="Q337" i="6"/>
  <c r="Q331" i="6"/>
  <c r="Q172" i="6"/>
  <c r="Q379" i="6"/>
  <c r="Q139" i="6"/>
  <c r="Q449" i="6"/>
  <c r="Q176" i="6"/>
  <c r="Q321" i="6"/>
  <c r="Q350" i="6"/>
  <c r="Q386" i="6"/>
  <c r="Q316" i="6"/>
  <c r="Q155" i="6"/>
  <c r="Q223" i="6"/>
  <c r="Q131" i="6"/>
  <c r="Q24" i="6"/>
  <c r="Q430" i="6"/>
  <c r="Q53" i="6"/>
  <c r="Q206" i="6"/>
  <c r="Q434" i="6"/>
  <c r="Q409" i="6"/>
  <c r="Q236" i="6"/>
  <c r="Q248" i="6"/>
  <c r="Q93" i="6"/>
  <c r="Q132" i="6"/>
  <c r="Q376" i="6"/>
  <c r="Q59" i="6"/>
  <c r="Q340" i="6"/>
  <c r="Q431" i="6"/>
  <c r="Q423" i="6"/>
  <c r="Q354" i="6"/>
  <c r="Q282" i="6"/>
  <c r="Q392" i="6"/>
  <c r="Q188" i="6"/>
  <c r="Q133" i="6"/>
  <c r="Q122" i="6"/>
  <c r="Q85" i="6"/>
  <c r="Q47" i="6"/>
  <c r="Q342" i="6"/>
  <c r="Q311" i="6"/>
  <c r="Q452" i="6"/>
  <c r="Q290" i="6"/>
  <c r="Q353" i="6"/>
  <c r="Q347" i="6"/>
  <c r="Q263" i="6"/>
  <c r="Q460" i="6"/>
  <c r="Q134" i="6"/>
  <c r="Q267" i="6"/>
  <c r="Q147" i="6"/>
  <c r="Q107" i="6"/>
  <c r="Q323" i="6"/>
  <c r="Q164" i="6"/>
  <c r="Q126" i="6"/>
  <c r="Q284" i="6"/>
  <c r="Q245" i="6"/>
  <c r="Q271" i="6"/>
  <c r="Q101" i="6"/>
  <c r="Q233" i="6"/>
  <c r="Q56" i="6"/>
  <c r="Q373" i="6"/>
  <c r="Q328" i="6"/>
  <c r="Q9" i="6"/>
  <c r="Q250" i="6"/>
  <c r="Q367" i="6"/>
  <c r="Q55" i="6"/>
  <c r="Q242" i="6"/>
  <c r="Q42" i="6"/>
  <c r="Q421" i="6"/>
  <c r="Q108" i="6"/>
  <c r="Q302" i="6"/>
  <c r="Q318" i="6"/>
  <c r="Q12" i="6"/>
  <c r="Q420" i="6"/>
  <c r="Q77" i="6"/>
  <c r="Q356" i="6"/>
  <c r="Q437" i="6"/>
  <c r="Q216" i="6"/>
  <c r="Q285" i="6"/>
  <c r="Q293" i="6"/>
  <c r="Q138" i="6"/>
  <c r="Q410" i="6"/>
  <c r="Q99" i="6"/>
  <c r="Q414" i="6"/>
  <c r="Q207" i="6"/>
  <c r="Q345" i="6"/>
  <c r="Q203" i="6"/>
  <c r="Q40" i="6"/>
  <c r="Q87" i="6"/>
  <c r="Q165" i="6"/>
  <c r="Q37" i="6"/>
  <c r="Q178" i="6"/>
  <c r="Q344" i="6"/>
  <c r="Q180" i="6"/>
  <c r="Q227" i="6"/>
  <c r="Q169" i="6"/>
  <c r="Q189" i="6"/>
  <c r="Q174" i="6"/>
  <c r="Q136" i="6"/>
  <c r="Q182" i="6"/>
  <c r="Q130" i="6"/>
  <c r="Q453" i="6"/>
  <c r="Q98" i="6"/>
  <c r="Q162" i="6"/>
  <c r="Q439" i="6"/>
  <c r="Q462" i="6"/>
  <c r="Q309" i="6"/>
  <c r="Q385" i="6"/>
  <c r="Q283" i="6"/>
  <c r="Q69" i="6"/>
  <c r="Q140" i="6"/>
  <c r="Q120" i="6"/>
  <c r="Q228" i="6"/>
  <c r="Q205" i="6"/>
  <c r="Q262" i="6"/>
  <c r="Q415" i="6"/>
  <c r="Q417" i="6"/>
  <c r="Q57" i="6"/>
  <c r="Q232" i="6"/>
  <c r="Q64" i="6"/>
  <c r="Q298" i="6"/>
  <c r="Q372" i="6"/>
  <c r="Q384" i="6"/>
  <c r="Q25" i="6"/>
  <c r="Q195" i="6"/>
  <c r="Q237" i="6"/>
  <c r="Q280" i="6"/>
  <c r="Q333" i="6"/>
  <c r="Q26" i="6"/>
  <c r="Q387" i="6"/>
  <c r="Q46" i="6"/>
  <c r="Q369" i="6"/>
  <c r="Q109" i="6"/>
  <c r="Q62" i="6"/>
  <c r="Q71" i="6"/>
  <c r="Q117" i="6"/>
  <c r="Q121" i="6"/>
  <c r="Q75" i="6"/>
  <c r="Q277" i="6"/>
  <c r="Q204" i="6"/>
  <c r="Q221" i="6"/>
  <c r="Q400" i="6"/>
  <c r="Q281" i="6"/>
  <c r="Q243" i="6"/>
  <c r="Q63" i="6"/>
  <c r="Q200" i="6"/>
  <c r="Q461" i="6"/>
  <c r="Q407" i="6"/>
  <c r="Q90" i="6"/>
  <c r="Q219" i="6"/>
  <c r="Q173" i="6"/>
  <c r="Q270" i="6"/>
  <c r="Q327" i="6"/>
  <c r="Q443" i="6"/>
  <c r="Q286" i="6"/>
  <c r="Q401" i="6"/>
  <c r="Q266" i="6"/>
  <c r="Q152" i="6"/>
  <c r="Q370" i="6"/>
  <c r="Q382" i="6"/>
  <c r="Q240" i="6"/>
  <c r="Q19" i="6"/>
  <c r="Q362" i="6"/>
  <c r="Q229" i="6"/>
  <c r="Q102" i="6"/>
  <c r="Q123" i="6"/>
  <c r="Q291" i="6"/>
  <c r="Q408" i="6"/>
  <c r="Q427" i="6"/>
  <c r="Q100" i="6"/>
  <c r="Q456" i="6"/>
  <c r="Q103" i="6"/>
  <c r="Q125" i="6"/>
  <c r="Q119" i="6"/>
  <c r="Q464" i="6"/>
  <c r="Q13" i="6"/>
  <c r="Q329" i="6"/>
  <c r="Q388" i="6"/>
  <c r="Q264" i="6"/>
  <c r="Q413" i="6"/>
  <c r="Q249" i="6"/>
  <c r="Q252" i="6"/>
  <c r="Q297" i="6"/>
  <c r="Q459" i="6"/>
  <c r="Q403" i="6"/>
  <c r="Q358" i="6"/>
  <c r="Q348" i="6"/>
  <c r="Q419" i="6"/>
  <c r="Q220" i="6"/>
  <c r="Q105" i="6"/>
  <c r="Q330" i="6"/>
  <c r="Q288" i="6"/>
  <c r="Q50" i="6"/>
  <c r="Q157" i="6"/>
  <c r="Q231" i="6"/>
  <c r="Q313" i="6"/>
  <c r="Q363" i="6"/>
  <c r="Q441" i="6"/>
  <c r="Q163" i="6"/>
  <c r="Q95" i="6"/>
  <c r="Q429" i="6"/>
  <c r="Q33" i="6"/>
  <c r="Q61" i="6"/>
  <c r="Q28" i="6"/>
  <c r="Q70" i="6"/>
  <c r="Q247" i="6"/>
  <c r="Q279" i="6"/>
  <c r="Q299" i="6"/>
  <c r="Q197" i="6"/>
  <c r="Q394" i="6"/>
  <c r="Q389" i="6"/>
  <c r="Q72" i="6"/>
  <c r="Q445" i="6"/>
  <c r="Q115" i="6"/>
  <c r="Q60" i="6"/>
  <c r="Q351" i="6"/>
  <c r="Q44" i="6"/>
  <c r="Q218" i="6"/>
  <c r="Q274" i="6"/>
  <c r="Q322" i="6"/>
  <c r="Q175" i="6"/>
  <c r="Q171" i="6"/>
  <c r="Q166" i="6"/>
  <c r="Q435" i="6"/>
  <c r="Q177" i="6"/>
  <c r="Q3" i="6"/>
  <c r="Q149" i="6"/>
  <c r="Q269" i="6"/>
  <c r="Q212" i="6"/>
  <c r="Q129" i="6"/>
  <c r="Q127" i="6"/>
  <c r="Q317" i="6"/>
  <c r="Q31" i="6"/>
  <c r="Q428" i="6"/>
  <c r="Q304" i="6"/>
  <c r="Q89" i="6"/>
  <c r="Q258" i="6"/>
  <c r="Q181" i="6"/>
  <c r="Q447" i="6"/>
  <c r="Q457" i="6"/>
  <c r="Q217" i="6"/>
  <c r="Q246" i="6"/>
  <c r="Q150" i="6"/>
  <c r="Q88" i="6"/>
  <c r="Q45" i="6"/>
  <c r="Q48" i="6"/>
  <c r="Q5" i="6"/>
  <c r="Q96" i="6"/>
  <c r="Q190" i="6"/>
  <c r="Q357" i="6"/>
  <c r="Q193" i="6"/>
  <c r="Q374" i="6"/>
  <c r="Q184" i="6"/>
  <c r="Q18" i="6"/>
  <c r="Q35" i="6"/>
  <c r="Q455" i="6"/>
  <c r="Q334" i="6"/>
  <c r="Q398" i="6"/>
  <c r="Q66" i="6"/>
  <c r="Q261" i="6"/>
  <c r="Q114" i="6"/>
  <c r="Q272" i="6"/>
  <c r="Q402" i="6"/>
  <c r="Q158" i="6"/>
  <c r="Q338" i="6"/>
  <c r="Q187" i="6"/>
  <c r="Q254" i="6"/>
  <c r="Q444" i="6"/>
  <c r="Q393" i="6"/>
  <c r="Q395" i="6"/>
  <c r="Q380" i="6"/>
  <c r="Q324" i="6"/>
  <c r="Q22" i="6"/>
  <c r="Q390" i="6"/>
  <c r="Q225" i="6"/>
  <c r="Q34" i="6"/>
  <c r="Q238" i="6"/>
  <c r="Q14" i="6"/>
  <c r="Q454" i="6"/>
  <c r="Q446" i="6"/>
  <c r="Q378" i="6"/>
  <c r="Q43" i="6"/>
  <c r="Q406" i="6"/>
  <c r="Q106" i="6"/>
  <c r="Q341" i="6"/>
  <c r="Q183" i="6"/>
  <c r="Q20" i="6"/>
  <c r="Q128" i="6"/>
  <c r="Q308" i="6"/>
  <c r="Q448" i="6"/>
  <c r="Q168" i="6"/>
  <c r="Q104" i="6"/>
  <c r="Q161" i="6"/>
  <c r="Q339" i="6"/>
  <c r="Q276" i="6"/>
  <c r="Q118" i="6"/>
  <c r="Q113" i="6"/>
  <c r="Q292" i="6"/>
  <c r="Q224" i="6"/>
  <c r="Q359" i="6"/>
  <c r="Q391" i="6"/>
  <c r="Q211" i="6"/>
  <c r="Q91" i="6"/>
  <c r="Q84" i="6"/>
  <c r="Q303" i="6"/>
  <c r="Q27" i="6"/>
  <c r="Q366" i="6"/>
  <c r="Q273" i="6"/>
  <c r="Q7" i="6"/>
  <c r="Q54" i="6"/>
  <c r="Q432" i="6"/>
  <c r="Q253" i="6"/>
  <c r="Q259" i="6"/>
  <c r="Q38" i="6"/>
  <c r="Q49" i="6"/>
  <c r="Q440" i="6"/>
  <c r="Q94" i="6"/>
  <c r="Q124" i="6"/>
  <c r="Q41" i="6"/>
  <c r="Q416" i="6"/>
  <c r="Q287" i="6"/>
  <c r="Q32" i="6"/>
  <c r="Q194" i="6"/>
  <c r="Q210" i="6"/>
  <c r="Q235" i="6"/>
  <c r="Q336" i="6"/>
  <c r="Q257" i="6"/>
  <c r="Q97" i="6"/>
  <c r="Q295" i="6"/>
  <c r="Q343" i="6"/>
  <c r="Q346" i="6"/>
  <c r="Q110" i="6"/>
  <c r="Q251" i="6"/>
  <c r="Q17" i="6"/>
  <c r="Q458" i="6"/>
  <c r="Q156" i="6"/>
  <c r="Q160" i="6"/>
  <c r="Q335" i="6"/>
  <c r="Q167" i="6"/>
  <c r="Q112" i="6"/>
  <c r="Q153" i="6"/>
  <c r="Q405" i="6"/>
  <c r="Q135" i="6"/>
  <c r="Q433" i="6"/>
  <c r="Q30" i="6"/>
  <c r="Q438" i="6"/>
  <c r="Q412" i="6"/>
  <c r="Q371" i="6"/>
  <c r="Q424" i="6"/>
  <c r="Q314" i="6"/>
  <c r="Q92" i="6"/>
  <c r="Q422" i="6"/>
  <c r="Q451" i="6"/>
  <c r="Q450" i="6"/>
  <c r="Q202" i="6"/>
  <c r="Q81" i="6"/>
  <c r="Q361" i="6"/>
  <c r="Q404" i="6"/>
  <c r="Q141" i="6"/>
  <c r="Q260" i="6"/>
  <c r="Q411" i="6"/>
  <c r="Q51" i="6"/>
  <c r="Q148" i="6"/>
  <c r="Q80" i="6"/>
  <c r="Q425" i="6"/>
  <c r="Q68" i="6"/>
  <c r="Q65" i="6"/>
  <c r="Q201" i="6"/>
  <c r="Q67" i="6"/>
  <c r="Q209" i="6"/>
  <c r="Q326" i="6"/>
  <c r="Q78" i="6"/>
  <c r="Q307" i="6"/>
  <c r="Q312" i="6"/>
  <c r="Q192" i="6"/>
  <c r="Q208" i="6"/>
  <c r="Q377" i="6"/>
  <c r="Q463" i="6"/>
  <c r="Q198" i="6"/>
  <c r="Q426" i="6"/>
  <c r="Q214" i="6"/>
  <c r="Q2" i="6"/>
  <c r="Q320" i="6"/>
  <c r="Q244" i="6"/>
  <c r="Q349" i="6"/>
  <c r="Q294" i="6"/>
  <c r="Q111" i="6"/>
  <c r="Q29" i="6"/>
  <c r="Q154" i="6"/>
  <c r="Q6" i="6"/>
  <c r="Q215" i="6"/>
  <c r="Q151" i="6"/>
  <c r="Q375" i="6"/>
  <c r="Q222" i="6"/>
  <c r="Q145" i="6"/>
  <c r="Q23" i="6"/>
  <c r="Q289" i="6"/>
  <c r="Q86" i="6"/>
  <c r="Q306" i="6"/>
  <c r="Q256" i="6"/>
  <c r="Q213" i="6"/>
  <c r="Q278" i="6"/>
  <c r="Q300" i="6"/>
  <c r="Q352" i="6"/>
  <c r="Q319" i="6"/>
  <c r="Q79" i="6"/>
  <c r="Q76" i="6"/>
  <c r="Q15" i="6"/>
  <c r="Q83" i="6"/>
  <c r="Q170" i="6"/>
  <c r="Q241" i="6"/>
  <c r="Q186" i="6"/>
  <c r="Q143" i="6"/>
  <c r="Q8" i="6"/>
  <c r="Q52" i="6"/>
  <c r="Q137" i="6"/>
  <c r="Q268" i="6"/>
  <c r="Q332" i="6"/>
  <c r="Q418" i="6"/>
  <c r="Q199" i="6"/>
  <c r="Q226" i="6"/>
  <c r="Q230" i="6"/>
  <c r="Q146" i="6"/>
  <c r="Q159" i="6"/>
  <c r="Q142" i="6"/>
  <c r="Q58" i="6"/>
  <c r="Q360" i="6"/>
  <c r="Q74" i="6"/>
  <c r="Q365" i="6"/>
  <c r="Q301" i="6"/>
  <c r="Q196" i="6"/>
  <c r="Q296" i="6"/>
  <c r="Q4" i="6"/>
  <c r="Q10" i="6"/>
  <c r="Q36" i="6"/>
  <c r="Q191" i="6"/>
  <c r="Q265" i="6"/>
  <c r="Q381" i="6"/>
  <c r="Q116" i="6"/>
  <c r="Q355" i="6"/>
  <c r="Q325" i="6"/>
  <c r="Q305" i="6"/>
  <c r="Q396" i="6"/>
  <c r="Q442" i="6"/>
  <c r="Q368" i="6"/>
  <c r="Q82" i="6"/>
  <c r="Q144" i="6"/>
  <c r="Q18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CFE2BA-2E6E-43BF-AA2D-E9E583FA1567}" keepAlive="1" name="Query - Main" description="Connection to the 'Main' query in the workbook." type="5" refreshedVersion="7" background="1" saveData="1">
    <dbPr connection="Provider=Microsoft.Mashup.OleDb.1;Data Source=$Workbook$;Location=Main;Extended Properties=&quot;&quot;" command="SELECT * FROM [Main]"/>
  </connection>
  <connection id="2" xr16:uid="{E79A7AB6-DB79-41D4-BA2F-07D123167D93}" keepAlive="1" name="Query - Main (2)" description="Connection to the 'Main (2)' query in the workbook." type="5" refreshedVersion="7" background="1" saveData="1">
    <dbPr connection="Provider=Microsoft.Mashup.OleDb.1;Data Source=$Workbook$;Location=&quot;Main (2)&quot;;Extended Properties=&quot;&quot;" command="SELECT * FROM [Main (2)]"/>
  </connection>
  <connection id="3" xr16:uid="{2ABA1D22-B960-4D62-B5AD-770681FAF2AE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<sst xmlns="http://schemas.openxmlformats.org/spreadsheetml/2006/main" count="6086" uniqueCount="2862">
  <si>
    <t>Date</t>
  </si>
  <si>
    <t>Product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</si>
  <si>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</si>
  <si>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</si>
  <si>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</si>
  <si>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</si>
  <si>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</si>
  <si>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</si>
  <si>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</si>
  <si>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</si>
  <si>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</si>
  <si>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</si>
  <si>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</si>
  <si>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</si>
  <si>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</si>
  <si>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</si>
  <si>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</si>
  <si>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</si>
  <si>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</si>
  <si>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</si>
  <si>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</si>
  <si>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</si>
  <si>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</si>
  <si>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</si>
  <si>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</si>
  <si>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</si>
  <si>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</si>
  <si>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</si>
  <si>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</si>
  <si>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</si>
  <si>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</si>
  <si>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</si>
  <si>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</si>
  <si>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</si>
  <si>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</si>
  <si>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</si>
  <si>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</si>
  <si>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</si>
  <si>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</si>
  <si>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</si>
  <si>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</si>
  <si>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</si>
  <si>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</si>
  <si>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</si>
  <si>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</si>
  <si>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</si>
  <si>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</si>
  <si>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</si>
  <si>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</si>
  <si>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</si>
  <si>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</si>
  <si>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</si>
  <si>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</si>
  <si>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</si>
  <si>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</si>
  <si>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</si>
  <si>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</si>
  <si>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</si>
  <si>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</si>
  <si>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</si>
  <si>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</si>
  <si>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</si>
  <si>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</si>
  <si>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</si>
  <si>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</si>
  <si>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</si>
  <si>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</si>
  <si>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</si>
  <si>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</si>
  <si>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</si>
  <si>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</si>
  <si>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</si>
  <si>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</si>
  <si>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</si>
  <si>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</si>
  <si>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</si>
  <si>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</si>
  <si>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</si>
  <si>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</si>
  <si>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</si>
  <si>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</si>
  <si>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</si>
  <si>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</si>
  <si>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</si>
  <si>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</si>
  <si>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</si>
  <si>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</si>
  <si>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</si>
  <si>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</si>
  <si>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</si>
  <si>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</si>
  <si>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</si>
  <si>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</si>
  <si>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</si>
  <si>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</si>
  <si>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</si>
  <si>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</si>
  <si>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</si>
  <si>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</si>
  <si>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</si>
  <si>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</si>
  <si>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</si>
  <si>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</si>
  <si>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</si>
  <si>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</si>
  <si>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</si>
  <si>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</si>
  <si>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</si>
  <si>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</si>
  <si>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</si>
  <si>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</si>
  <si>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</si>
  <si>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</si>
  <si>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</si>
  <si>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</si>
  <si>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</si>
  <si>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</si>
  <si>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</si>
  <si>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</si>
  <si>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</si>
  <si>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</si>
  <si>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</si>
  <si>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</si>
  <si>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</si>
  <si>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</si>
  <si>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</si>
  <si>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</si>
  <si>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</si>
  <si>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</si>
  <si>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</si>
  <si>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</si>
  <si>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</si>
  <si>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</si>
  <si>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</si>
  <si>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</si>
  <si>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</si>
  <si>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</si>
  <si>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</si>
  <si>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</si>
  <si>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</si>
  <si>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</si>
  <si>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</si>
  <si>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</si>
  <si>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</si>
  <si>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</si>
  <si>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</si>
  <si>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</si>
  <si>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</si>
  <si>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</si>
  <si>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</si>
  <si>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</si>
  <si>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</si>
  <si>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</si>
  <si>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</si>
  <si>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</si>
  <si>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</si>
  <si>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</si>
  <si>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</si>
  <si>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</si>
  <si>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</si>
  <si>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</si>
  <si>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</si>
  <si>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</si>
  <si>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</si>
  <si>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</si>
  <si>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</si>
  <si>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</si>
  <si>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</si>
  <si>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</si>
  <si>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</si>
  <si>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</si>
  <si>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</si>
  <si>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</si>
  <si>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</si>
  <si>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</si>
  <si>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</si>
  <si>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</si>
  <si>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</si>
  <si>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</si>
  <si>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</si>
  <si>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</si>
  <si>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</si>
  <si>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</si>
  <si>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</si>
  <si>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</si>
  <si>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ORD200043</t>
  </si>
  <si>
    <t>C60572</t>
  </si>
  <si>
    <t>871 Main St</t>
  </si>
  <si>
    <t>TRK20351666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</si>
  <si>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</si>
  <si>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</si>
  <si>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</si>
  <si>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</si>
  <si>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</si>
  <si>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</si>
  <si>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</si>
  <si>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</si>
  <si>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</si>
  <si>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</si>
  <si>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</si>
  <si>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</si>
  <si>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</si>
  <si>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</si>
  <si>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</si>
  <si>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</si>
  <si>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</si>
  <si>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</si>
  <si>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</si>
  <si>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</si>
  <si>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</si>
  <si>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</si>
  <si>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</si>
  <si>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</si>
  <si>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</si>
  <si>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</si>
  <si>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</si>
  <si>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</si>
  <si>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</si>
  <si>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</si>
  <si>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</si>
  <si>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</si>
  <si>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</si>
  <si>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</si>
  <si>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</si>
  <si>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</si>
  <si>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</si>
  <si>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</si>
  <si>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</si>
  <si>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</si>
  <si>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</si>
  <si>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</si>
  <si>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</si>
  <si>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</si>
  <si>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</si>
  <si>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</si>
  <si>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</si>
  <si>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</si>
  <si>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</si>
  <si>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</si>
  <si>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</si>
  <si>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</si>
  <si>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</si>
  <si>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</si>
  <si>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</si>
  <si>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</si>
  <si>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</si>
  <si>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</si>
  <si>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</si>
  <si>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</si>
  <si>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</si>
  <si>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</si>
  <si>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</si>
  <si>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</si>
  <si>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</si>
  <si>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</si>
  <si>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</si>
  <si>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</si>
  <si>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</si>
  <si>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</si>
  <si>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</si>
  <si>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</si>
  <si>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</si>
  <si>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</si>
  <si>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</si>
  <si>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</si>
  <si>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</si>
  <si>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</si>
  <si>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</si>
  <si>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</si>
  <si>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</si>
  <si>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</si>
  <si>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</si>
  <si>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</si>
  <si>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</si>
  <si>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</si>
  <si>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</si>
  <si>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</si>
  <si>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</si>
  <si>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</si>
  <si>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</si>
  <si>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</si>
  <si>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</si>
  <si>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</si>
  <si>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</si>
  <si>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</si>
  <si>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</si>
  <si>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</si>
  <si>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</si>
  <si>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</si>
  <si>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</si>
  <si>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</si>
  <si>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</si>
  <si>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</si>
  <si>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</si>
  <si>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</si>
  <si>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</si>
  <si>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</si>
  <si>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</si>
  <si>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</si>
  <si>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</si>
  <si>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</si>
  <si>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</si>
  <si>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</si>
  <si>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</si>
  <si>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</si>
  <si>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</si>
  <si>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</si>
  <si>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</si>
  <si>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</si>
  <si>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</si>
  <si>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</si>
  <si>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</si>
  <si>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</si>
  <si>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</si>
  <si>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</si>
  <si>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</si>
  <si>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</si>
  <si>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</si>
  <si>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</si>
  <si>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</si>
  <si>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</si>
  <si>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</si>
  <si>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</si>
  <si>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</si>
  <si>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</si>
  <si>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989 Main St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</si>
  <si>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</si>
  <si>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</si>
  <si>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</si>
  <si>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</si>
  <si>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</si>
  <si>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</si>
  <si>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</si>
  <si>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</si>
  <si>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</si>
  <si>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</si>
  <si>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</si>
  <si>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</si>
  <si>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</si>
  <si>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</si>
  <si>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</si>
  <si>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</si>
  <si>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</si>
  <si>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</si>
  <si>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</si>
  <si>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</si>
  <si>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</si>
  <si>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</si>
  <si>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</si>
  <si>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</si>
  <si>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</si>
  <si>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</si>
  <si>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</si>
  <si>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</si>
  <si>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</si>
  <si>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</si>
  <si>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</si>
  <si>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</si>
  <si>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</si>
  <si>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</si>
  <si>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</si>
  <si>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</si>
  <si>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</si>
  <si>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</si>
  <si>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</si>
  <si>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</si>
  <si>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</si>
  <si>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</si>
  <si>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</si>
  <si>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</si>
  <si>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</si>
  <si>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</si>
  <si>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</si>
  <si>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</si>
  <si>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ORD200097</t>
  </si>
  <si>
    <t>C15624</t>
  </si>
  <si>
    <t>922 Main St</t>
  </si>
  <si>
    <t>TRK40621141</t>
  </si>
  <si>
    <t>533 Main St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</si>
  <si>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</si>
  <si>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</si>
  <si>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</si>
  <si>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</si>
  <si>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</si>
  <si>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</si>
  <si>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</si>
  <si>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</si>
  <si>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</si>
  <si>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</si>
  <si>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</si>
  <si>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</si>
  <si>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</si>
  <si>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</si>
  <si>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</si>
  <si>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</si>
  <si>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</si>
  <si>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</si>
  <si>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</si>
  <si>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</si>
  <si>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</si>
  <si>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</si>
  <si>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</si>
  <si>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</si>
  <si>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</si>
  <si>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</si>
  <si>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</si>
  <si>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</si>
  <si>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</si>
  <si>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</si>
  <si>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</si>
  <si>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</si>
  <si>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</si>
  <si>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</si>
  <si>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</si>
  <si>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</si>
  <si>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</si>
  <si>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</si>
  <si>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</si>
  <si>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</si>
  <si>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</si>
  <si>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</si>
  <si>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</si>
  <si>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</si>
  <si>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</si>
  <si>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</si>
  <si>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</si>
  <si>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</si>
  <si>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</si>
  <si>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</si>
  <si>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</si>
  <si>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</si>
  <si>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</si>
  <si>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</si>
  <si>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</si>
  <si>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</si>
  <si>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</si>
  <si>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</si>
  <si>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</si>
  <si>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</si>
  <si>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</si>
  <si>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</si>
  <si>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</si>
  <si>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</si>
  <si>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</si>
  <si>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</si>
  <si>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</si>
  <si>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</si>
  <si>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593 Main St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</si>
  <si>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</si>
  <si>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</si>
  <si>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</si>
  <si>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</si>
  <si>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</si>
  <si>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</si>
  <si>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</si>
  <si>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</si>
  <si>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</si>
  <si>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</si>
  <si>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</si>
  <si>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</si>
  <si>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</si>
  <si>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</si>
  <si>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</si>
  <si>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</si>
  <si>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</si>
  <si>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</si>
  <si>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</si>
  <si>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</si>
  <si>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</si>
  <si>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</si>
  <si>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</si>
  <si>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</si>
  <si>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</si>
  <si>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</si>
  <si>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</si>
  <si>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</si>
  <si>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</si>
  <si>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</si>
  <si>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</si>
  <si>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</si>
  <si>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</si>
  <si>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</si>
  <si>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</si>
  <si>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</si>
  <si>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</si>
  <si>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</si>
  <si>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</si>
  <si>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</si>
  <si>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</si>
  <si>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</si>
  <si>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</si>
  <si>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</si>
  <si>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</si>
  <si>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</si>
  <si>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</si>
  <si>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</si>
  <si>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</si>
  <si>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</si>
  <si>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</si>
  <si>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</si>
  <si>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</si>
  <si>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</si>
  <si>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</si>
  <si>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</si>
  <si>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</si>
  <si>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</si>
  <si>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</si>
  <si>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</si>
  <si>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</si>
  <si>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</si>
  <si>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</si>
  <si>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</si>
  <si>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</si>
  <si>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</si>
  <si>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</si>
  <si>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</si>
  <si>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</si>
  <si>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</si>
  <si>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</si>
  <si>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</si>
  <si>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</si>
  <si>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</si>
  <si>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</si>
  <si>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</si>
  <si>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</si>
  <si>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</si>
  <si>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</si>
  <si>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</si>
  <si>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</si>
  <si>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</si>
  <si>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</si>
  <si>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</si>
  <si>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</si>
  <si>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</si>
  <si>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</si>
  <si>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</si>
  <si>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</si>
  <si>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</si>
  <si>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</si>
  <si>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</si>
  <si>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</si>
  <si>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</si>
  <si>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</si>
  <si>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</si>
  <si>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</si>
  <si>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</si>
  <si>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</si>
  <si>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</si>
  <si>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</si>
  <si>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</si>
  <si>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</si>
  <si>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</si>
  <si>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</si>
  <si>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</si>
  <si>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</si>
  <si>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</si>
  <si>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</si>
  <si>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</si>
  <si>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</si>
  <si>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</si>
  <si>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</si>
  <si>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</si>
  <si>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</si>
  <si>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</si>
  <si>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</si>
  <si>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</si>
  <si>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</si>
  <si>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</si>
  <si>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ORD200156</t>
  </si>
  <si>
    <t>C58808</t>
  </si>
  <si>
    <t>651 Main St</t>
  </si>
  <si>
    <t>TRK24451893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</si>
  <si>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</si>
  <si>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</si>
  <si>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</si>
  <si>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</si>
  <si>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</si>
  <si>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</si>
  <si>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</si>
  <si>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</si>
  <si>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240 Main St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</si>
  <si>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</si>
  <si>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</si>
  <si>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</si>
  <si>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</si>
  <si>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</si>
  <si>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</si>
  <si>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</si>
  <si>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</si>
  <si>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</si>
  <si>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</si>
  <si>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</si>
  <si>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</si>
  <si>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</si>
  <si>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</si>
  <si>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</si>
  <si>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</si>
  <si>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</si>
  <si>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</si>
  <si>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</si>
  <si>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</si>
  <si>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</si>
  <si>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</si>
  <si>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</si>
  <si>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</si>
  <si>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</si>
  <si>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</si>
  <si>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</si>
  <si>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</si>
  <si>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806 Main St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</si>
  <si>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</si>
  <si>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</si>
  <si>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</si>
  <si>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</si>
  <si>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</si>
  <si>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</si>
  <si>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</si>
  <si>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</si>
  <si>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</si>
  <si>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</si>
  <si>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</si>
  <si>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</si>
  <si>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</si>
  <si>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</si>
  <si>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</si>
  <si>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</si>
  <si>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</si>
  <si>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</si>
  <si>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</si>
  <si>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</si>
  <si>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</si>
  <si>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</si>
  <si>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</si>
  <si>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</si>
  <si>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</si>
  <si>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</si>
  <si>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</si>
  <si>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</si>
  <si>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</si>
  <si>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</si>
  <si>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</si>
  <si>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</si>
  <si>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</si>
  <si>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</si>
  <si>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</si>
  <si>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</si>
  <si>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</si>
  <si>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</si>
  <si>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</si>
  <si>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</si>
  <si>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</si>
  <si>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</si>
  <si>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</si>
  <si>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</si>
  <si>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572 Main St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</si>
  <si>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</si>
  <si>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</si>
  <si>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</si>
  <si>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</si>
  <si>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</si>
  <si>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</si>
  <si>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</si>
  <si>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</si>
  <si>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</si>
  <si>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</si>
  <si>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</si>
  <si>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</si>
  <si>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</si>
  <si>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</si>
  <si>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</si>
  <si>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</si>
  <si>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ORD200191</t>
  </si>
  <si>
    <t>C51494</t>
  </si>
  <si>
    <t>505 Main St</t>
  </si>
  <si>
    <t>TRK58520306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</si>
  <si>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</si>
  <si>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</si>
  <si>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</si>
  <si>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</si>
  <si>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</si>
  <si>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</si>
  <si>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</si>
  <si>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</si>
  <si>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</si>
  <si>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</si>
  <si>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</si>
  <si>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</si>
  <si>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</si>
  <si>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</si>
  <si>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</si>
  <si>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</si>
  <si>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</si>
  <si>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</si>
  <si>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</si>
  <si>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</si>
  <si>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ORD200199</t>
  </si>
  <si>
    <t>C87524</t>
  </si>
  <si>
    <t>358 Main St</t>
  </si>
  <si>
    <t>TRK21114341</t>
  </si>
  <si>
    <t>ORD200205</t>
  </si>
  <si>
    <t>C19266</t>
  </si>
  <si>
    <t>609 Main St</t>
  </si>
  <si>
    <t>TRK58357269</t>
  </si>
  <si>
    <t>729 Main St</t>
  </si>
  <si>
    <t>ORD200207</t>
  </si>
  <si>
    <t>C54595</t>
  </si>
  <si>
    <t>999 Main St</t>
  </si>
  <si>
    <t>TRK44416659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</si>
  <si>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</si>
  <si>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</si>
  <si>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</si>
  <si>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</si>
  <si>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</si>
  <si>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</si>
  <si>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</si>
  <si>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</si>
  <si>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</si>
  <si>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</si>
  <si>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</si>
  <si>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</si>
  <si>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432 Main St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</si>
  <si>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</si>
  <si>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</si>
  <si>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</si>
  <si>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</si>
  <si>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</si>
  <si>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</si>
  <si>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</si>
  <si>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</si>
  <si>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</si>
  <si>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</si>
  <si>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</si>
  <si>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</si>
  <si>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</si>
  <si>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</si>
  <si>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</si>
  <si>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</si>
  <si>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ORD200222</t>
  </si>
  <si>
    <t>C43124</t>
  </si>
  <si>
    <t>931 Main St</t>
  </si>
  <si>
    <t>TRK17293348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</si>
  <si>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</si>
  <si>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</si>
  <si>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</si>
  <si>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</si>
  <si>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</si>
  <si>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</si>
  <si>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</si>
  <si>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</si>
  <si>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</si>
  <si>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</si>
  <si>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</si>
  <si>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</si>
  <si>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</si>
  <si>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</si>
  <si>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</si>
  <si>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</si>
  <si>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</si>
  <si>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</si>
  <si>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</si>
  <si>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</si>
  <si>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</si>
  <si>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</si>
  <si>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</si>
  <si>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</si>
  <si>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</si>
  <si>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</si>
  <si>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</si>
  <si>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</si>
  <si>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</si>
  <si>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</si>
  <si>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</si>
  <si>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</si>
  <si>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ORD200235</t>
  </si>
  <si>
    <t>C32854</t>
  </si>
  <si>
    <t>815 Main St</t>
  </si>
  <si>
    <t>TRK30009218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</si>
  <si>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</si>
  <si>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</si>
  <si>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</si>
  <si>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</si>
  <si>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</si>
  <si>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</si>
  <si>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</si>
  <si>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</si>
  <si>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</si>
  <si>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</si>
  <si>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</si>
  <si>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</si>
  <si>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</si>
  <si>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</si>
  <si>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</si>
  <si>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</si>
  <si>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</si>
  <si>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</si>
  <si>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</si>
  <si>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</si>
  <si>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</si>
  <si>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</si>
  <si>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</si>
  <si>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</si>
  <si>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</si>
  <si>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</si>
  <si>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</si>
  <si>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</si>
  <si>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</si>
  <si>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</si>
  <si>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</si>
  <si>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</si>
  <si>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</si>
  <si>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</si>
  <si>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</si>
  <si>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</si>
  <si>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</si>
  <si>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</si>
  <si>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</si>
  <si>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</si>
  <si>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</si>
  <si>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</si>
  <si>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</si>
  <si>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</si>
  <si>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</si>
  <si>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</si>
  <si>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</si>
  <si>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</si>
  <si>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ORD200251</t>
  </si>
  <si>
    <t>C93175</t>
  </si>
  <si>
    <t>814 Main St</t>
  </si>
  <si>
    <t>TRK32995144</t>
  </si>
  <si>
    <t>821 Main St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</si>
  <si>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</si>
  <si>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</si>
  <si>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</si>
  <si>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</si>
  <si>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</si>
  <si>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</si>
  <si>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</si>
  <si>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</si>
  <si>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</si>
  <si>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</si>
  <si>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</si>
  <si>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</si>
  <si>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</si>
  <si>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</si>
  <si>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</si>
  <si>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153 Main St</t>
  </si>
  <si>
    <t>ORD200261</t>
  </si>
  <si>
    <t>C68976</t>
  </si>
  <si>
    <t>460 Main St</t>
  </si>
  <si>
    <t>TRK25491356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</si>
  <si>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</si>
  <si>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</si>
  <si>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</si>
  <si>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</si>
  <si>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</si>
  <si>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</si>
  <si>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</si>
  <si>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</si>
  <si>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</si>
  <si>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</si>
  <si>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</si>
  <si>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</si>
  <si>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ORD200267</t>
  </si>
  <si>
    <t>C84480</t>
  </si>
  <si>
    <t>803 Main St</t>
  </si>
  <si>
    <t>TRK62361867</t>
  </si>
  <si>
    <t>ORD200270</t>
  </si>
  <si>
    <t>C13540</t>
  </si>
  <si>
    <t>127 Main St</t>
  </si>
  <si>
    <t>TRK81087373</t>
  </si>
  <si>
    <t>791 Main St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</si>
  <si>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</si>
  <si>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</si>
  <si>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</si>
  <si>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</si>
  <si>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</si>
  <si>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</si>
  <si>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</si>
  <si>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</si>
  <si>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</si>
  <si>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</si>
  <si>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</si>
  <si>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</si>
  <si>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</si>
  <si>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</si>
  <si>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</si>
  <si>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</si>
  <si>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</si>
  <si>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</si>
  <si>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</si>
  <si>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</si>
  <si>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</si>
  <si>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</si>
  <si>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</si>
  <si>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</si>
  <si>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</si>
  <si>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</si>
  <si>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</si>
  <si>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</si>
  <si>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740 Main St</t>
  </si>
  <si>
    <t>195 Main St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</si>
  <si>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</si>
  <si>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</si>
  <si>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</si>
  <si>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</si>
  <si>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</si>
  <si>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</si>
  <si>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</si>
  <si>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</si>
  <si>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</si>
  <si>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</si>
  <si>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</si>
  <si>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</si>
  <si>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</si>
  <si>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</si>
  <si>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</si>
  <si>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</si>
  <si>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ORD200291</t>
  </si>
  <si>
    <t>C61521</t>
  </si>
  <si>
    <t>670 Main St</t>
  </si>
  <si>
    <t>TRK93676567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</si>
  <si>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</si>
  <si>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</si>
  <si>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</si>
  <si>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</si>
  <si>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</si>
  <si>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</si>
  <si>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</si>
  <si>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</si>
  <si>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ORD200297</t>
  </si>
  <si>
    <t>C68078</t>
  </si>
  <si>
    <t>252 Main St</t>
  </si>
  <si>
    <t>TRK64862812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</si>
  <si>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</si>
  <si>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</si>
  <si>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</si>
  <si>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</si>
  <si>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</si>
  <si>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</si>
  <si>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</si>
  <si>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</si>
  <si>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726 Main St</t>
  </si>
  <si>
    <t>368 Main St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</si>
  <si>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</si>
  <si>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</si>
  <si>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</si>
  <si>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</si>
  <si>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</si>
  <si>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</si>
  <si>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</si>
  <si>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</si>
  <si>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</si>
  <si>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</si>
  <si>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</si>
  <si>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</si>
  <si>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</si>
  <si>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</si>
  <si>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</si>
  <si>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</si>
  <si>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</si>
  <si>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</si>
  <si>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</si>
  <si>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</si>
  <si>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</si>
  <si>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</si>
  <si>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</si>
  <si>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</si>
  <si>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</si>
  <si>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</si>
  <si>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</si>
  <si>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</si>
  <si>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</si>
  <si>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</si>
  <si>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</si>
  <si>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</si>
  <si>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</si>
  <si>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</si>
  <si>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</si>
  <si>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</si>
  <si>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</si>
  <si>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</si>
  <si>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</si>
  <si>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</si>
  <si>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339 Main St</t>
  </si>
  <si>
    <t>ORD200319</t>
  </si>
  <si>
    <t>C53049</t>
  </si>
  <si>
    <t>413 Main St</t>
  </si>
  <si>
    <t>TRK48974907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</si>
  <si>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</si>
  <si>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</si>
  <si>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</si>
  <si>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</si>
  <si>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</si>
  <si>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</si>
  <si>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</si>
  <si>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ORD200325</t>
  </si>
  <si>
    <t>C53545</t>
  </si>
  <si>
    <t>665 Main St</t>
  </si>
  <si>
    <t>TRK61123177</t>
  </si>
  <si>
    <t>ORD200328</t>
  </si>
  <si>
    <t>C18404</t>
  </si>
  <si>
    <t>546 Main St</t>
  </si>
  <si>
    <t>TRK89401624</t>
  </si>
  <si>
    <t>ORD200330</t>
  </si>
  <si>
    <t>C38068</t>
  </si>
  <si>
    <t>532 Main St</t>
  </si>
  <si>
    <t>TRK54059198</t>
  </si>
  <si>
    <t>ORD200332</t>
  </si>
  <si>
    <t>C26163</t>
  </si>
  <si>
    <t>607 Main St</t>
  </si>
  <si>
    <t>TRK67499316</t>
  </si>
  <si>
    <t>ORD200334</t>
  </si>
  <si>
    <t>C90348</t>
  </si>
  <si>
    <t>728 Main St</t>
  </si>
  <si>
    <t>TRK20635777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</si>
  <si>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</si>
  <si>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</si>
  <si>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</si>
  <si>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</si>
  <si>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</si>
  <si>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</si>
  <si>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</si>
  <si>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</si>
  <si>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</si>
  <si>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</si>
  <si>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</si>
  <si>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</si>
  <si>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</si>
  <si>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</si>
  <si>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</si>
  <si>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</si>
  <si>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</si>
  <si>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</si>
  <si>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</si>
  <si>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</si>
  <si>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</si>
  <si>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</si>
  <si>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</si>
  <si>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</si>
  <si>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</si>
  <si>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</si>
  <si>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</si>
  <si>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</si>
  <si>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259 Main St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</si>
  <si>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</si>
  <si>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</si>
  <si>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</si>
  <si>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</si>
  <si>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</si>
  <si>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</si>
  <si>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</si>
  <si>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</si>
  <si>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885 Main St</t>
  </si>
  <si>
    <t>824 Main St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</si>
  <si>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</si>
  <si>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</si>
  <si>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</si>
  <si>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</si>
  <si>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</si>
  <si>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</si>
  <si>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</si>
  <si>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</si>
  <si>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</si>
  <si>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</si>
  <si>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</si>
  <si>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</si>
  <si>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</si>
  <si>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</si>
  <si>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</si>
  <si>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</si>
  <si>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</si>
  <si>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</si>
  <si>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</si>
  <si>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</si>
  <si>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</si>
  <si>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</si>
  <si>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</si>
  <si>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</si>
  <si>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747 Main St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</si>
  <si>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</si>
  <si>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</si>
  <si>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</si>
  <si>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</si>
  <si>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</si>
  <si>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</si>
  <si>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</si>
  <si>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</si>
  <si>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</si>
  <si>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</si>
  <si>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</si>
  <si>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</si>
  <si>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ORD200366</t>
  </si>
  <si>
    <t>C95213</t>
  </si>
  <si>
    <t>603 Main St</t>
  </si>
  <si>
    <t>TRK40630538</t>
  </si>
  <si>
    <t>ORD200373</t>
  </si>
  <si>
    <t>C60178</t>
  </si>
  <si>
    <t>969 Main St</t>
  </si>
  <si>
    <t>TRK84505143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</si>
  <si>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</si>
  <si>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</si>
  <si>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</si>
  <si>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</si>
  <si>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</si>
  <si>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</si>
  <si>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</si>
  <si>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</si>
  <si>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ORD200378</t>
  </si>
  <si>
    <t>C62666</t>
  </si>
  <si>
    <t>148 Main St</t>
  </si>
  <si>
    <t>TRK91029390</t>
  </si>
  <si>
    <t>ORD200382</t>
  </si>
  <si>
    <t>C26718</t>
  </si>
  <si>
    <t>272 Main St</t>
  </si>
  <si>
    <t>TRK91702525</t>
  </si>
  <si>
    <t>373 Main St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</si>
  <si>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</si>
  <si>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</si>
  <si>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</si>
  <si>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</si>
  <si>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</si>
  <si>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</si>
  <si>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</si>
  <si>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ORD200393</t>
  </si>
  <si>
    <t>C39906</t>
  </si>
  <si>
    <t>921 Main St</t>
  </si>
  <si>
    <t>TRK24632134</t>
  </si>
  <si>
    <t>359 Main St</t>
  </si>
  <si>
    <t>778 Main St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</si>
  <si>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</si>
  <si>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</si>
  <si>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</si>
  <si>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</si>
  <si>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</si>
  <si>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</si>
  <si>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</si>
  <si>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</si>
  <si>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</si>
  <si>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</si>
  <si>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</si>
  <si>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</si>
  <si>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</si>
  <si>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</si>
  <si>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</si>
  <si>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</si>
  <si>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</si>
  <si>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</si>
  <si>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</si>
  <si>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</si>
  <si>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</si>
  <si>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</si>
  <si>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ORD200406</t>
  </si>
  <si>
    <t>C11657</t>
  </si>
  <si>
    <t>TRK50284486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</si>
  <si>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</si>
  <si>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</si>
  <si>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</si>
  <si>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</si>
  <si>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</si>
  <si>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</si>
  <si>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</si>
  <si>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</si>
  <si>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</si>
  <si>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</si>
  <si>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</si>
  <si>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</si>
  <si>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</si>
  <si>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</si>
  <si>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</si>
  <si>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</si>
  <si>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</si>
  <si>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</si>
  <si>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</si>
  <si>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</si>
  <si>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</si>
  <si>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</si>
  <si>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</si>
  <si>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</si>
  <si>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652 Main St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</si>
  <si>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</si>
  <si>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</si>
  <si>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</si>
  <si>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</si>
  <si>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</si>
  <si>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</si>
  <si>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</si>
  <si>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</si>
  <si>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ORD200420</t>
  </si>
  <si>
    <t>C11921</t>
  </si>
  <si>
    <t>439 Main St</t>
  </si>
  <si>
    <t>TRK91362635</t>
  </si>
  <si>
    <t>ORD200423</t>
  </si>
  <si>
    <t>C94311</t>
  </si>
  <si>
    <t>TRK97308771</t>
  </si>
  <si>
    <t>488 Main St</t>
  </si>
  <si>
    <t>ORD200426</t>
  </si>
  <si>
    <t>C40967</t>
  </si>
  <si>
    <t>315 Main St</t>
  </si>
  <si>
    <t>TRK24839296</t>
  </si>
  <si>
    <t>433 Main St</t>
  </si>
  <si>
    <t>ORD200432</t>
  </si>
  <si>
    <t>C58443</t>
  </si>
  <si>
    <t>662 Main St</t>
  </si>
  <si>
    <t>TRK77163738</t>
  </si>
  <si>
    <t>227 Main St</t>
  </si>
  <si>
    <t>ORD200446</t>
  </si>
  <si>
    <t>C89592</t>
  </si>
  <si>
    <t>262 Main St</t>
  </si>
  <si>
    <t>TRK49442402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</si>
  <si>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</si>
  <si>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</si>
  <si>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</si>
  <si>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</si>
  <si>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</si>
  <si>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</si>
  <si>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</si>
  <si>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</si>
  <si>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ORD200452</t>
  </si>
  <si>
    <t>C36467</t>
  </si>
  <si>
    <t>581 Main St</t>
  </si>
  <si>
    <t>TRK20863987</t>
  </si>
  <si>
    <t>492 Main St</t>
  </si>
  <si>
    <t>ORD200454</t>
  </si>
  <si>
    <t>C54759</t>
  </si>
  <si>
    <t>686 Main St</t>
  </si>
  <si>
    <t>TRK75583042</t>
  </si>
  <si>
    <t>ORD200456</t>
  </si>
  <si>
    <t>C94479</t>
  </si>
  <si>
    <t>TRK69089975</t>
  </si>
  <si>
    <t>ORD200457</t>
  </si>
  <si>
    <t>C50236</t>
  </si>
  <si>
    <t>545 Main St</t>
  </si>
  <si>
    <t>TRK67692578</t>
  </si>
  <si>
    <t>474 Main St</t>
  </si>
  <si>
    <t>ORD200462</t>
  </si>
  <si>
    <t>C22991</t>
  </si>
  <si>
    <t>731 Main St</t>
  </si>
  <si>
    <t>TRK32796086</t>
  </si>
  <si>
    <t>214 Main St</t>
  </si>
  <si>
    <t>ORD200464</t>
  </si>
  <si>
    <t>C39176</t>
  </si>
  <si>
    <t>739 Main St</t>
  </si>
  <si>
    <t>TRK71418686</t>
  </si>
  <si>
    <t>ORD200468</t>
  </si>
  <si>
    <t>C90110</t>
  </si>
  <si>
    <t>998 Main St</t>
  </si>
  <si>
    <t>TRK60203957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</si>
  <si>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</si>
  <si>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</si>
  <si>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</si>
  <si>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</si>
  <si>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</si>
  <si>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</si>
  <si>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</si>
  <si>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</si>
  <si>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</si>
  <si>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</si>
  <si>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</si>
  <si>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</si>
  <si>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867 Main St</t>
  </si>
  <si>
    <t>ORD200477</t>
  </si>
  <si>
    <t>C56564</t>
  </si>
  <si>
    <t>481 Main St</t>
  </si>
  <si>
    <t>TRK13166044</t>
  </si>
  <si>
    <t>ORD200479</t>
  </si>
  <si>
    <t>C87011</t>
  </si>
  <si>
    <t>943 Main St</t>
  </si>
  <si>
    <t>TRK21429162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</si>
  <si>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</si>
  <si>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</si>
  <si>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</si>
  <si>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</si>
  <si>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</si>
  <si>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</si>
  <si>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</si>
  <si>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ORD200485</t>
  </si>
  <si>
    <t>C46651</t>
  </si>
  <si>
    <t>764 Main St</t>
  </si>
  <si>
    <t>TRK67679195</t>
  </si>
  <si>
    <t>ORD200493</t>
  </si>
  <si>
    <t>C84908</t>
  </si>
  <si>
    <t>372 Main St</t>
  </si>
  <si>
    <t>TRK64135970</t>
  </si>
  <si>
    <t>ORD200496</t>
  </si>
  <si>
    <t>C93618</t>
  </si>
  <si>
    <t>249 Main St</t>
  </si>
  <si>
    <t>TRK66129326</t>
  </si>
  <si>
    <t>ORD200499</t>
  </si>
  <si>
    <t>C18138</t>
  </si>
  <si>
    <t>520 Main St</t>
  </si>
  <si>
    <t>TRK20289483</t>
  </si>
  <si>
    <t>ORD200502</t>
  </si>
  <si>
    <t>C69332</t>
  </si>
  <si>
    <t>745 Main St</t>
  </si>
  <si>
    <t>TRK65718848</t>
  </si>
  <si>
    <t>696 Main St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</si>
  <si>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</si>
  <si>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</si>
  <si>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</si>
  <si>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</si>
  <si>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</si>
  <si>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</si>
  <si>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</si>
  <si>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</si>
  <si>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</si>
  <si>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</si>
  <si>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</si>
  <si>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</si>
  <si>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ORD200513</t>
  </si>
  <si>
    <t>C64128</t>
  </si>
  <si>
    <t>TRK37053575</t>
  </si>
  <si>
    <t>ORD200514</t>
  </si>
  <si>
    <t>C15629</t>
  </si>
  <si>
    <t>TRK64926044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</si>
  <si>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</si>
  <si>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</si>
  <si>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</si>
  <si>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</si>
  <si>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</si>
  <si>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</si>
  <si>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</si>
  <si>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</si>
  <si>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</si>
  <si>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</si>
  <si>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</si>
  <si>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</si>
  <si>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</si>
  <si>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</si>
  <si>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</si>
  <si>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</si>
  <si>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</si>
  <si>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</si>
  <si>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</si>
  <si>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ORD200536</t>
  </si>
  <si>
    <t>C18724</t>
  </si>
  <si>
    <t>124 Main St</t>
  </si>
  <si>
    <t>TRK52508861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</si>
  <si>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</si>
  <si>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</si>
  <si>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</si>
  <si>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</si>
  <si>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</si>
  <si>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</si>
  <si>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</si>
  <si>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</si>
  <si>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ORD200544</t>
  </si>
  <si>
    <t>C48713</t>
  </si>
  <si>
    <t>TRK96334419</t>
  </si>
  <si>
    <t>964 Main St</t>
  </si>
  <si>
    <t>ORD200553</t>
  </si>
  <si>
    <t>C82550</t>
  </si>
  <si>
    <t>828 Main St</t>
  </si>
  <si>
    <t>TRK74103758</t>
  </si>
  <si>
    <t>ORD200556</t>
  </si>
  <si>
    <t>C30923</t>
  </si>
  <si>
    <t>932 Main St</t>
  </si>
  <si>
    <t>TRK82609328</t>
  </si>
  <si>
    <t>ORD200558</t>
  </si>
  <si>
    <t>C76766</t>
  </si>
  <si>
    <t>485 Main St</t>
  </si>
  <si>
    <t>TRK32052962</t>
  </si>
  <si>
    <t>ORD200560</t>
  </si>
  <si>
    <t>C33634</t>
  </si>
  <si>
    <t>524 Main St</t>
  </si>
  <si>
    <t>TRK93168008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</si>
  <si>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</si>
  <si>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</si>
  <si>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</si>
  <si>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</si>
  <si>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</si>
  <si>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</si>
  <si>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</si>
  <si>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</si>
  <si>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</si>
  <si>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</si>
  <si>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</si>
  <si>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167 Main St</t>
  </si>
  <si>
    <t>ORD200567</t>
  </si>
  <si>
    <t>C92575</t>
  </si>
  <si>
    <t>TRK53579227</t>
  </si>
  <si>
    <t>ORD200571</t>
  </si>
  <si>
    <t>C42365</t>
  </si>
  <si>
    <t>TRK39563288</t>
  </si>
  <si>
    <t>ORD200584</t>
  </si>
  <si>
    <t>C15257</t>
  </si>
  <si>
    <t>626 Main St</t>
  </si>
  <si>
    <t>TRK28779938</t>
  </si>
  <si>
    <t>ORD200587</t>
  </si>
  <si>
    <t>C18820</t>
  </si>
  <si>
    <t>347 Main St</t>
  </si>
  <si>
    <t>TRK91547425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</si>
  <si>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</si>
  <si>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</si>
  <si>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</si>
  <si>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</si>
  <si>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</si>
  <si>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</si>
  <si>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</si>
  <si>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</si>
  <si>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</si>
  <si>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</si>
  <si>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</si>
  <si>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</si>
  <si>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</si>
  <si>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</si>
  <si>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</si>
  <si>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</si>
  <si>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ORD200603</t>
  </si>
  <si>
    <t>C26223</t>
  </si>
  <si>
    <t>800 Main St</t>
  </si>
  <si>
    <t>TRK50900547</t>
  </si>
  <si>
    <t>282 Main St</t>
  </si>
  <si>
    <t>788 Main St</t>
  </si>
  <si>
    <t>154 Main St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</si>
  <si>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</si>
  <si>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</si>
  <si>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</si>
  <si>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</si>
  <si>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</si>
  <si>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</si>
  <si>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</si>
  <si>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</si>
  <si>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</si>
  <si>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</si>
  <si>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</si>
  <si>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</si>
  <si>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ORD200620</t>
  </si>
  <si>
    <t>C84834</t>
  </si>
  <si>
    <t>866 Main St</t>
  </si>
  <si>
    <t>TRK90136001</t>
  </si>
  <si>
    <t>269 Main St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</si>
  <si>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</si>
  <si>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</si>
  <si>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</si>
  <si>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</si>
  <si>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</si>
  <si>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</si>
  <si>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</si>
  <si>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</si>
  <si>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</si>
  <si>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</si>
  <si>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</si>
  <si>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</si>
  <si>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</si>
  <si>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</si>
  <si>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</si>
  <si>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</si>
  <si>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</si>
  <si>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</si>
  <si>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</si>
  <si>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ORD200637</t>
  </si>
  <si>
    <t>C92294</t>
  </si>
  <si>
    <t>784 Main St</t>
  </si>
  <si>
    <t>TRK23585765</t>
  </si>
  <si>
    <t>ORD200642</t>
  </si>
  <si>
    <t>C15063</t>
  </si>
  <si>
    <t>527 Main St</t>
  </si>
  <si>
    <t>TRK10329390</t>
  </si>
  <si>
    <t>ORD200648</t>
  </si>
  <si>
    <t>C89674</t>
  </si>
  <si>
    <t>182 Main St</t>
  </si>
  <si>
    <t>TRK45902512</t>
  </si>
  <si>
    <t>ORD200652</t>
  </si>
  <si>
    <t>C71473</t>
  </si>
  <si>
    <t>328 Main St</t>
  </si>
  <si>
    <t>TRK94857335</t>
  </si>
  <si>
    <t>ORD200659</t>
  </si>
  <si>
    <t>C24301</t>
  </si>
  <si>
    <t>TRK55000075</t>
  </si>
  <si>
    <t>ORD200669</t>
  </si>
  <si>
    <t>C60547</t>
  </si>
  <si>
    <t>812 Main St</t>
  </si>
  <si>
    <t>TRK65694249</t>
  </si>
  <si>
    <t>ORD200674</t>
  </si>
  <si>
    <t>C56928</t>
  </si>
  <si>
    <t>860 Main St</t>
  </si>
  <si>
    <t>TRK57792939</t>
  </si>
  <si>
    <t>694 Main St</t>
  </si>
  <si>
    <t>ORD200681</t>
  </si>
  <si>
    <t>C38262</t>
  </si>
  <si>
    <t>548 Main St</t>
  </si>
  <si>
    <t>TRK47300502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</si>
  <si>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</si>
  <si>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</si>
  <si>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</si>
  <si>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</si>
  <si>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</si>
  <si>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</si>
  <si>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</si>
  <si>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</si>
  <si>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</si>
  <si>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</si>
  <si>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</si>
  <si>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</si>
  <si>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ORD200687</t>
  </si>
  <si>
    <t>C19742</t>
  </si>
  <si>
    <t>408 Main St</t>
  </si>
  <si>
    <t>TRK68845230</t>
  </si>
  <si>
    <t>ORD200693</t>
  </si>
  <si>
    <t>C62070</t>
  </si>
  <si>
    <t>674 Main St</t>
  </si>
  <si>
    <t>TRK10267127</t>
  </si>
  <si>
    <t>ORD200697</t>
  </si>
  <si>
    <t>C27430</t>
  </si>
  <si>
    <t>TRK45025840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</si>
  <si>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</si>
  <si>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</si>
  <si>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</si>
  <si>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</si>
  <si>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</si>
  <si>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</si>
  <si>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</si>
  <si>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</si>
  <si>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ORD200703</t>
  </si>
  <si>
    <t>C89336</t>
  </si>
  <si>
    <t>799 Main St</t>
  </si>
  <si>
    <t>TRK47665103</t>
  </si>
  <si>
    <t>ORD200705</t>
  </si>
  <si>
    <t>C50114</t>
  </si>
  <si>
    <t>420 Main St</t>
  </si>
  <si>
    <t>TRK20214786</t>
  </si>
  <si>
    <t>ORD200711</t>
  </si>
  <si>
    <t>C61070</t>
  </si>
  <si>
    <t>632 Main St</t>
  </si>
  <si>
    <t>TRK90764894</t>
  </si>
  <si>
    <t>993 Main St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</si>
  <si>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</si>
  <si>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</si>
  <si>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</si>
  <si>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</si>
  <si>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</si>
  <si>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</si>
  <si>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</si>
  <si>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</si>
  <si>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</si>
  <si>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</si>
  <si>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</si>
  <si>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</si>
  <si>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</si>
  <si>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</si>
  <si>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</si>
  <si>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</si>
  <si>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</si>
  <si>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</si>
  <si>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</si>
  <si>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</si>
  <si>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</si>
  <si>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</si>
  <si>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</si>
  <si>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</si>
  <si>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ORD200726</t>
  </si>
  <si>
    <t>C18105</t>
  </si>
  <si>
    <t>338 Main St</t>
  </si>
  <si>
    <t>TRK94006117</t>
  </si>
  <si>
    <t>ORD200728</t>
  </si>
  <si>
    <t>C10154</t>
  </si>
  <si>
    <t>827 Main St</t>
  </si>
  <si>
    <t>TRK79793300</t>
  </si>
  <si>
    <t>ORD200733</t>
  </si>
  <si>
    <t>C90757</t>
  </si>
  <si>
    <t>TRK87991608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</si>
  <si>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</si>
  <si>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</si>
  <si>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</si>
  <si>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</si>
  <si>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</si>
  <si>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</si>
  <si>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</si>
  <si>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</si>
  <si>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</si>
  <si>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</si>
  <si>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</si>
  <si>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</si>
  <si>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</si>
  <si>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</si>
  <si>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</si>
  <si>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</si>
  <si>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</si>
  <si>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</si>
  <si>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</si>
  <si>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</si>
  <si>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</si>
  <si>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</si>
  <si>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</si>
  <si>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</si>
  <si>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</si>
  <si>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</si>
  <si>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</si>
  <si>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</si>
  <si>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</si>
  <si>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ORD200749</t>
  </si>
  <si>
    <t>C17551</t>
  </si>
  <si>
    <t>997 Main St</t>
  </si>
  <si>
    <t>TRK88797170</t>
  </si>
  <si>
    <t>ORD200753</t>
  </si>
  <si>
    <t>C42270</t>
  </si>
  <si>
    <t>864 Main St</t>
  </si>
  <si>
    <t>TRK72697796</t>
  </si>
  <si>
    <t>983 Main St</t>
  </si>
  <si>
    <t>ORD200755</t>
  </si>
  <si>
    <t>C54160</t>
  </si>
  <si>
    <t>658 Main St</t>
  </si>
  <si>
    <t>TRK60515972</t>
  </si>
  <si>
    <t>ORD200759</t>
  </si>
  <si>
    <t>C96283</t>
  </si>
  <si>
    <t>366 Main St</t>
  </si>
  <si>
    <t>TRK91784124</t>
  </si>
  <si>
    <t>165 Main St</t>
  </si>
  <si>
    <t>ORD200770</t>
  </si>
  <si>
    <t>C72166</t>
  </si>
  <si>
    <t>TRK67733444</t>
  </si>
  <si>
    <t>257 Main St</t>
  </si>
  <si>
    <t>ORD200776</t>
  </si>
  <si>
    <t>C69168</t>
  </si>
  <si>
    <t>482 Main St</t>
  </si>
  <si>
    <t>TRK10446197</t>
  </si>
  <si>
    <t>ORD200782</t>
  </si>
  <si>
    <t>C58063</t>
  </si>
  <si>
    <t>TRK50548869</t>
  </si>
  <si>
    <t>ORD200785</t>
  </si>
  <si>
    <t>C45862</t>
  </si>
  <si>
    <t>342 Main St</t>
  </si>
  <si>
    <t>TRK53089983</t>
  </si>
  <si>
    <t>ORD200787</t>
  </si>
  <si>
    <t>C18167</t>
  </si>
  <si>
    <t>193 Main St</t>
  </si>
  <si>
    <t>TRK36841089</t>
  </si>
  <si>
    <t>ORD200789</t>
  </si>
  <si>
    <t>C57276</t>
  </si>
  <si>
    <t>183 Main St</t>
  </si>
  <si>
    <t>TRK75899752</t>
  </si>
  <si>
    <t>ORD200795</t>
  </si>
  <si>
    <t>C95667</t>
  </si>
  <si>
    <t>586 Main St</t>
  </si>
  <si>
    <t>TRK41266666</t>
  </si>
  <si>
    <t>ORD200804</t>
  </si>
  <si>
    <t>C76362</t>
  </si>
  <si>
    <t>916 Main St</t>
  </si>
  <si>
    <t>TRK11868618</t>
  </si>
  <si>
    <t>ORD200808</t>
  </si>
  <si>
    <t>C65565</t>
  </si>
  <si>
    <t>192 Main St</t>
  </si>
  <si>
    <t>TRK80383756</t>
  </si>
  <si>
    <t>ORD200810</t>
  </si>
  <si>
    <t>C23637</t>
  </si>
  <si>
    <t>644 Main St</t>
  </si>
  <si>
    <t>TRK16749863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</si>
  <si>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</si>
  <si>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</si>
  <si>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</si>
  <si>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</si>
  <si>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</si>
  <si>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</si>
  <si>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</si>
  <si>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</si>
  <si>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664 Main St</t>
  </si>
  <si>
    <t>ORD200827</t>
  </si>
  <si>
    <t>C95856</t>
  </si>
  <si>
    <t>TRK58829625</t>
  </si>
  <si>
    <t>ORD200837</t>
  </si>
  <si>
    <t>C88029</t>
  </si>
  <si>
    <t>TRK59701278</t>
  </si>
  <si>
    <t>ORD200841</t>
  </si>
  <si>
    <t>C94658</t>
  </si>
  <si>
    <t>742 Main St</t>
  </si>
  <si>
    <t>TRK51732528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</si>
  <si>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</si>
  <si>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</si>
  <si>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</si>
  <si>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</si>
  <si>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</si>
  <si>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</si>
  <si>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</si>
  <si>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</si>
  <si>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ORD200849</t>
  </si>
  <si>
    <t>C16675</t>
  </si>
  <si>
    <t>TRK12756945</t>
  </si>
  <si>
    <t>ORD200859</t>
  </si>
  <si>
    <t>C11127</t>
  </si>
  <si>
    <t>TRK73285507</t>
  </si>
  <si>
    <t>ORD200865</t>
  </si>
  <si>
    <t>C72241</t>
  </si>
  <si>
    <t>156 Main St</t>
  </si>
  <si>
    <t>TRK76270481</t>
  </si>
  <si>
    <t>ORD200867</t>
  </si>
  <si>
    <t>C53252</t>
  </si>
  <si>
    <t>351 Main St</t>
  </si>
  <si>
    <t>TRK65831261</t>
  </si>
  <si>
    <t>ORD200870</t>
  </si>
  <si>
    <t>C78725</t>
  </si>
  <si>
    <t>541 Main St</t>
  </si>
  <si>
    <t>TRK72001139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</si>
  <si>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</si>
  <si>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</si>
  <si>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</si>
  <si>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</si>
  <si>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</si>
  <si>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</si>
  <si>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</si>
  <si>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ORD200881</t>
  </si>
  <si>
    <t>C59579</t>
  </si>
  <si>
    <t>386 Main St</t>
  </si>
  <si>
    <t>TRK48000034</t>
  </si>
  <si>
    <t>ORD200884</t>
  </si>
  <si>
    <t>C71471</t>
  </si>
  <si>
    <t>817 Main St</t>
  </si>
  <si>
    <t>TRK52137079</t>
  </si>
  <si>
    <t>ORD200888</t>
  </si>
  <si>
    <t>C14427</t>
  </si>
  <si>
    <t>833 Main St</t>
  </si>
  <si>
    <t>TRK58024529</t>
  </si>
  <si>
    <t>ORD200892</t>
  </si>
  <si>
    <t>C72043</t>
  </si>
  <si>
    <t>480 Main St</t>
  </si>
  <si>
    <t>TRK40896408</t>
  </si>
  <si>
    <t>ORD200895</t>
  </si>
  <si>
    <t>C81882</t>
  </si>
  <si>
    <t>832 Main St</t>
  </si>
  <si>
    <t>TRK62371264</t>
  </si>
  <si>
    <t>ORD200911</t>
  </si>
  <si>
    <t>C80872</t>
  </si>
  <si>
    <t>TRK43967487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</si>
  <si>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</si>
  <si>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</si>
  <si>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</si>
  <si>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</si>
  <si>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</si>
  <si>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</si>
  <si>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</si>
  <si>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</si>
  <si>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</si>
  <si>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</si>
  <si>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</si>
  <si>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144 Main St</t>
  </si>
  <si>
    <t>ORD200922</t>
  </si>
  <si>
    <t>C81857</t>
  </si>
  <si>
    <t>487 Main St</t>
  </si>
  <si>
    <t>TRK79737732</t>
  </si>
  <si>
    <t>ORD200928</t>
  </si>
  <si>
    <t>C77166</t>
  </si>
  <si>
    <t>TRK18896595</t>
  </si>
  <si>
    <t>ORD200939</t>
  </si>
  <si>
    <t>C48510</t>
  </si>
  <si>
    <t>212 Main St</t>
  </si>
  <si>
    <t>TRK53152886</t>
  </si>
  <si>
    <t>679 Main St</t>
  </si>
  <si>
    <t>ORD200954</t>
  </si>
  <si>
    <t>C68609</t>
  </si>
  <si>
    <t>TRK58273778</t>
  </si>
  <si>
    <t>ORD200957</t>
  </si>
  <si>
    <t>C73575</t>
  </si>
  <si>
    <t>851 Main St</t>
  </si>
  <si>
    <t>TRK23387612</t>
  </si>
  <si>
    <t>ORD200965</t>
  </si>
  <si>
    <t>C70412</t>
  </si>
  <si>
    <t>TRK22192783</t>
  </si>
  <si>
    <t>ORD200966</t>
  </si>
  <si>
    <t>C58503</t>
  </si>
  <si>
    <t>290 Main St</t>
  </si>
  <si>
    <t>TRK12981657</t>
  </si>
  <si>
    <t>675 Main St</t>
  </si>
  <si>
    <t>ORD200970</t>
  </si>
  <si>
    <t>C72664</t>
  </si>
  <si>
    <t>241 Main St</t>
  </si>
  <si>
    <t>TRK86694331</t>
  </si>
  <si>
    <t>ORD200978</t>
  </si>
  <si>
    <t>C41508</t>
  </si>
  <si>
    <t>TRK61047536</t>
  </si>
  <si>
    <t>ORD200980</t>
  </si>
  <si>
    <t>C84320</t>
  </si>
  <si>
    <t>107 Main St</t>
  </si>
  <si>
    <t>TRK81093218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</si>
  <si>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</si>
  <si>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</si>
  <si>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</si>
  <si>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</si>
  <si>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</si>
  <si>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</si>
  <si>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</si>
  <si>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</si>
  <si>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ORD200993</t>
  </si>
  <si>
    <t>C61384</t>
  </si>
  <si>
    <t>576 Main St</t>
  </si>
  <si>
    <t>TRK33323210</t>
  </si>
  <si>
    <t>ORD201000</t>
  </si>
  <si>
    <t>C90132</t>
  </si>
  <si>
    <t>582 Main St</t>
  </si>
  <si>
    <t>TRK52664903</t>
  </si>
  <si>
    <t>ORD201008</t>
  </si>
  <si>
    <t>C62557</t>
  </si>
  <si>
    <t>TRK12742366</t>
  </si>
  <si>
    <t>ORD201017</t>
  </si>
  <si>
    <t>C51694</t>
  </si>
  <si>
    <t>953 Main St</t>
  </si>
  <si>
    <t>TRK83122112</t>
  </si>
  <si>
    <t>ORD201027</t>
  </si>
  <si>
    <t>C93467</t>
  </si>
  <si>
    <t>TRK77377373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</si>
  <si>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</si>
  <si>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</si>
  <si>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</si>
  <si>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</si>
  <si>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</si>
  <si>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</si>
  <si>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</si>
  <si>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</si>
  <si>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ORD201043</t>
  </si>
  <si>
    <t>C43965</t>
  </si>
  <si>
    <t>TRK94346739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</si>
  <si>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</si>
  <si>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</si>
  <si>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</si>
  <si>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</si>
  <si>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</si>
  <si>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</si>
  <si>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</si>
  <si>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ORD201060</t>
  </si>
  <si>
    <t>C38024</t>
  </si>
  <si>
    <t>TRK93370912</t>
  </si>
  <si>
    <t>ORD201065</t>
  </si>
  <si>
    <t>C47778</t>
  </si>
  <si>
    <t>TRK79504329</t>
  </si>
  <si>
    <t>ORD201079</t>
  </si>
  <si>
    <t>C89979</t>
  </si>
  <si>
    <t>TRK99055909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</si>
  <si>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</si>
  <si>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</si>
  <si>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</si>
  <si>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</si>
  <si>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</si>
  <si>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</si>
  <si>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</si>
  <si>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</si>
  <si>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</si>
  <si>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</si>
  <si>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</si>
  <si>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</si>
  <si>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</si>
  <si>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</si>
  <si>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</si>
  <si>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ORD201123</t>
  </si>
  <si>
    <t>C68936</t>
  </si>
  <si>
    <t>843 Main St</t>
  </si>
  <si>
    <t>TRK73163634</t>
  </si>
  <si>
    <t>ORD201143</t>
  </si>
  <si>
    <t>C41132</t>
  </si>
  <si>
    <t>114 Main St</t>
  </si>
  <si>
    <t>TRK51040137</t>
  </si>
  <si>
    <t>ORD201162</t>
  </si>
  <si>
    <t>C29405</t>
  </si>
  <si>
    <t>251 Main St</t>
  </si>
  <si>
    <t>TRK33125798</t>
  </si>
  <si>
    <t>ORD201169</t>
  </si>
  <si>
    <t>C15849</t>
  </si>
  <si>
    <t>643 Main St</t>
  </si>
  <si>
    <t>TRK26794546</t>
  </si>
  <si>
    <t>ORD201175</t>
  </si>
  <si>
    <t>C62512</t>
  </si>
  <si>
    <t>TRK24139954</t>
  </si>
  <si>
    <t>ORD201177</t>
  </si>
  <si>
    <t>C23917</t>
  </si>
  <si>
    <t>TRK44434536</t>
  </si>
  <si>
    <t>ORD201185</t>
  </si>
  <si>
    <t>C77344</t>
  </si>
  <si>
    <t>777 Main St</t>
  </si>
  <si>
    <t>TRK20605055</t>
  </si>
  <si>
    <t>ORD201189</t>
  </si>
  <si>
    <t>C96136</t>
  </si>
  <si>
    <t>149 Main St</t>
  </si>
  <si>
    <t>TRK60856682</t>
  </si>
  <si>
    <t>ORD201196</t>
  </si>
  <si>
    <t>C20095</t>
  </si>
  <si>
    <t>TRK69207593</t>
  </si>
  <si>
    <t>ORD201198</t>
  </si>
  <si>
    <t>C64753</t>
  </si>
  <si>
    <t>509 Main St</t>
  </si>
  <si>
    <t>TRK71683331</t>
  </si>
  <si>
    <t>04/01/2023</t>
  </si>
  <si>
    <t>5</t>
  </si>
  <si>
    <t>570.62</t>
  </si>
  <si>
    <t>7</t>
  </si>
  <si>
    <t>Save10</t>
  </si>
  <si>
    <t>23/08/2024</t>
  </si>
  <si>
    <t>2</t>
  </si>
  <si>
    <t>151.35</t>
  </si>
  <si>
    <t>3</t>
  </si>
  <si>
    <t>27/02/2024</t>
  </si>
  <si>
    <t>550.68</t>
  </si>
  <si>
    <t>8</t>
  </si>
  <si>
    <t>Freeship</t>
  </si>
  <si>
    <t>15/10/2023</t>
  </si>
  <si>
    <t>1</t>
  </si>
  <si>
    <t>273.19</t>
  </si>
  <si>
    <t>08/05/2025</t>
  </si>
  <si>
    <t>4</t>
  </si>
  <si>
    <t>626.01</t>
  </si>
  <si>
    <t>23/10/2023</t>
  </si>
  <si>
    <t>245.86</t>
  </si>
  <si>
    <t>17/06/2025</t>
  </si>
  <si>
    <t>664.42</t>
  </si>
  <si>
    <t>6</t>
  </si>
  <si>
    <t>12/05/2023</t>
  </si>
  <si>
    <t>149.55</t>
  </si>
  <si>
    <t>9</t>
  </si>
  <si>
    <t>02/04/2025</t>
  </si>
  <si>
    <t>134.28</t>
  </si>
  <si>
    <t>No Coupon</t>
  </si>
  <si>
    <t>21/11/2023</t>
  </si>
  <si>
    <t>509.38</t>
  </si>
  <si>
    <t>29/12/2023</t>
  </si>
  <si>
    <t>625.97</t>
  </si>
  <si>
    <t>Winter15</t>
  </si>
  <si>
    <t>17/02/2024</t>
  </si>
  <si>
    <t>49.14</t>
  </si>
  <si>
    <t>15/10/2024</t>
  </si>
  <si>
    <t>180.5</t>
  </si>
  <si>
    <t>30/08/2023</t>
  </si>
  <si>
    <t>201.49</t>
  </si>
  <si>
    <t>27/03/2023</t>
  </si>
  <si>
    <t>393.33</t>
  </si>
  <si>
    <t>17/07/2023</t>
  </si>
  <si>
    <t>473.96</t>
  </si>
  <si>
    <t>24/01/2023</t>
  </si>
  <si>
    <t>533.81</t>
  </si>
  <si>
    <t>02/03/2024</t>
  </si>
  <si>
    <t>423.4</t>
  </si>
  <si>
    <t>26/03/2025</t>
  </si>
  <si>
    <t>431.44</t>
  </si>
  <si>
    <t>23/01/2023</t>
  </si>
  <si>
    <t>224</t>
  </si>
  <si>
    <t>08/05/2023</t>
  </si>
  <si>
    <t>62.51</t>
  </si>
  <si>
    <t>17/11/2024</t>
  </si>
  <si>
    <t>342.95</t>
  </si>
  <si>
    <t>29/01/2023</t>
  </si>
  <si>
    <t>49.62</t>
  </si>
  <si>
    <t>09/04/2025</t>
  </si>
  <si>
    <t>273.25</t>
  </si>
  <si>
    <t>30/10/2024</t>
  </si>
  <si>
    <t>230.95</t>
  </si>
  <si>
    <t>24/07/2024</t>
  </si>
  <si>
    <t>399.98</t>
  </si>
  <si>
    <t>06/03/2024</t>
  </si>
  <si>
    <t>59.55</t>
  </si>
  <si>
    <t>22/02/2024</t>
  </si>
  <si>
    <t>472.74</t>
  </si>
  <si>
    <t>20/09/2024</t>
  </si>
  <si>
    <t>423.53</t>
  </si>
  <si>
    <t>22/03/2025</t>
  </si>
  <si>
    <t>426.7</t>
  </si>
  <si>
    <t>30/06/2023</t>
  </si>
  <si>
    <t>500.08</t>
  </si>
  <si>
    <t>01/05/2023</t>
  </si>
  <si>
    <t>536.72</t>
  </si>
  <si>
    <t>10</t>
  </si>
  <si>
    <t>05/06/2023</t>
  </si>
  <si>
    <t>162.77</t>
  </si>
  <si>
    <t>07/01/2023</t>
  </si>
  <si>
    <t>576.52</t>
  </si>
  <si>
    <t>07/12/2024</t>
  </si>
  <si>
    <t>465.15</t>
  </si>
  <si>
    <t>14/10/2024</t>
  </si>
  <si>
    <t>76.74</t>
  </si>
  <si>
    <t>19/12/2024</t>
  </si>
  <si>
    <t>245.89</t>
  </si>
  <si>
    <t>27/02/2025</t>
  </si>
  <si>
    <t>256.46</t>
  </si>
  <si>
    <t>20/08/2023</t>
  </si>
  <si>
    <t>344.02</t>
  </si>
  <si>
    <t>05/12/2023</t>
  </si>
  <si>
    <t>611.45</t>
  </si>
  <si>
    <t>14/12/2023</t>
  </si>
  <si>
    <t>499.21</t>
  </si>
  <si>
    <t>10/02/2024</t>
  </si>
  <si>
    <t>317.25</t>
  </si>
  <si>
    <t>26/06/2024</t>
  </si>
  <si>
    <t>550.14</t>
  </si>
  <si>
    <t>19/07/2023</t>
  </si>
  <si>
    <t>209.94</t>
  </si>
  <si>
    <t>26/08/2023</t>
  </si>
  <si>
    <t>80.77</t>
  </si>
  <si>
    <t>31/07/2023</t>
  </si>
  <si>
    <t>179.22</t>
  </si>
  <si>
    <t>30/12/2024</t>
  </si>
  <si>
    <t>388.33</t>
  </si>
  <si>
    <t>08/09/2024</t>
  </si>
  <si>
    <t>586.44</t>
  </si>
  <si>
    <t>27/03/2025</t>
  </si>
  <si>
    <t>280.25</t>
  </si>
  <si>
    <t>24/06/2025</t>
  </si>
  <si>
    <t>344.4</t>
  </si>
  <si>
    <t>21/05/2023</t>
  </si>
  <si>
    <t>479.21</t>
  </si>
  <si>
    <t>22/01/2023</t>
  </si>
  <si>
    <t>314.27</t>
  </si>
  <si>
    <t>15/01/2023</t>
  </si>
  <si>
    <t>474.69</t>
  </si>
  <si>
    <t>11/09/2024</t>
  </si>
  <si>
    <t>593.27</t>
  </si>
  <si>
    <t>21/08/2024</t>
  </si>
  <si>
    <t>417.1</t>
  </si>
  <si>
    <t>24/03/2024</t>
  </si>
  <si>
    <t>122.2</t>
  </si>
  <si>
    <t>22/08/2023</t>
  </si>
  <si>
    <t>43.15</t>
  </si>
  <si>
    <t>02/02/2025</t>
  </si>
  <si>
    <t>564.86</t>
  </si>
  <si>
    <t>25/06/2025</t>
  </si>
  <si>
    <t>130.61</t>
  </si>
  <si>
    <t>30/12/2023</t>
  </si>
  <si>
    <t>81.7</t>
  </si>
  <si>
    <t>15/11/2024</t>
  </si>
  <si>
    <t>127.18</t>
  </si>
  <si>
    <t>09/12/2024</t>
  </si>
  <si>
    <t>12.1</t>
  </si>
  <si>
    <t>11/05/2023</t>
  </si>
  <si>
    <t>478.65</t>
  </si>
  <si>
    <t>26/05/2023</t>
  </si>
  <si>
    <t>629.21</t>
  </si>
  <si>
    <t>10/06/2025</t>
  </si>
  <si>
    <t>434.45</t>
  </si>
  <si>
    <t>03/05/2023</t>
  </si>
  <si>
    <t>433.45</t>
  </si>
  <si>
    <t>24/06/2023</t>
  </si>
  <si>
    <t>90.87</t>
  </si>
  <si>
    <t>26/09/2023</t>
  </si>
  <si>
    <t>398.17</t>
  </si>
  <si>
    <t>31/03/2024</t>
  </si>
  <si>
    <t>382.88</t>
  </si>
  <si>
    <t>24/05/2024</t>
  </si>
  <si>
    <t>583.18</t>
  </si>
  <si>
    <t>06/08/2024</t>
  </si>
  <si>
    <t>175.36</t>
  </si>
  <si>
    <t>10/03/2025</t>
  </si>
  <si>
    <t>311.91</t>
  </si>
  <si>
    <t>27/06/2023</t>
  </si>
  <si>
    <t>589.56</t>
  </si>
  <si>
    <t>08/06/2023</t>
  </si>
  <si>
    <t>394.3</t>
  </si>
  <si>
    <t>05/01/2024</t>
  </si>
  <si>
    <t>565.2</t>
  </si>
  <si>
    <t>28/08/2023</t>
  </si>
  <si>
    <t>165.49</t>
  </si>
  <si>
    <t>09/09/2024</t>
  </si>
  <si>
    <t>146.73</t>
  </si>
  <si>
    <t>19/06/2024</t>
  </si>
  <si>
    <t>643.03</t>
  </si>
  <si>
    <t>10/10/2024</t>
  </si>
  <si>
    <t>225.11</t>
  </si>
  <si>
    <t>05/06/2025</t>
  </si>
  <si>
    <t>114.81</t>
  </si>
  <si>
    <t>25/02/2025</t>
  </si>
  <si>
    <t>455.33</t>
  </si>
  <si>
    <t>18/09/2023</t>
  </si>
  <si>
    <t>182.08</t>
  </si>
  <si>
    <t>15/03/2023</t>
  </si>
  <si>
    <t>492.75</t>
  </si>
  <si>
    <t>10/06/2024</t>
  </si>
  <si>
    <t>48.61</t>
  </si>
  <si>
    <t>14/01/2023</t>
  </si>
  <si>
    <t>431.01</t>
  </si>
  <si>
    <t>11/02/2023</t>
  </si>
  <si>
    <t>531.18</t>
  </si>
  <si>
    <t>24/03/2023</t>
  </si>
  <si>
    <t>117.51</t>
  </si>
  <si>
    <t>21/01/2025</t>
  </si>
  <si>
    <t>619.52</t>
  </si>
  <si>
    <t>12/04/2025</t>
  </si>
  <si>
    <t>201.58</t>
  </si>
  <si>
    <t>17/02/2023</t>
  </si>
  <si>
    <t>664.79</t>
  </si>
  <si>
    <t>25/11/2023</t>
  </si>
  <si>
    <t>381.02</t>
  </si>
  <si>
    <t>08/03/2023</t>
  </si>
  <si>
    <t>70.34</t>
  </si>
  <si>
    <t>25/01/2025</t>
  </si>
  <si>
    <t>218.43</t>
  </si>
  <si>
    <t>30/07/2024</t>
  </si>
  <si>
    <t>582.04</t>
  </si>
  <si>
    <t>24/10/2024</t>
  </si>
  <si>
    <t>185.4</t>
  </si>
  <si>
    <t>08/09/2023</t>
  </si>
  <si>
    <t>465.05</t>
  </si>
  <si>
    <t>28/12/2024</t>
  </si>
  <si>
    <t>48.38</t>
  </si>
  <si>
    <t>17/09/2023</t>
  </si>
  <si>
    <t>592.87</t>
  </si>
  <si>
    <t>21/04/2024</t>
  </si>
  <si>
    <t>220.77</t>
  </si>
  <si>
    <t>07/05/2025</t>
  </si>
  <si>
    <t>309.22</t>
  </si>
  <si>
    <t>01/01/2023</t>
  </si>
  <si>
    <t>410.6</t>
  </si>
  <si>
    <t>17/01/2024</t>
  </si>
  <si>
    <t>190.08</t>
  </si>
  <si>
    <t>27/01/2025</t>
  </si>
  <si>
    <t>498.48</t>
  </si>
  <si>
    <t>27/11/2023</t>
  </si>
  <si>
    <t>374.99</t>
  </si>
  <si>
    <t>19/03/2023</t>
  </si>
  <si>
    <t>291.35</t>
  </si>
  <si>
    <t>09/10/2023</t>
  </si>
  <si>
    <t>502.71</t>
  </si>
  <si>
    <t>11/06/2025</t>
  </si>
  <si>
    <t>534.67</t>
  </si>
  <si>
    <t>30/11/2023</t>
  </si>
  <si>
    <t>410.78</t>
  </si>
  <si>
    <t>15/04/2024</t>
  </si>
  <si>
    <t>533.02</t>
  </si>
  <si>
    <t>06/07/2023</t>
  </si>
  <si>
    <t>278.04</t>
  </si>
  <si>
    <t>28/07/2024</t>
  </si>
  <si>
    <t>283.79</t>
  </si>
  <si>
    <t>06/11/2024</t>
  </si>
  <si>
    <t>512.65</t>
  </si>
  <si>
    <t>03/05/2025</t>
  </si>
  <si>
    <t>275.5</t>
  </si>
  <si>
    <t>10/08/2023</t>
  </si>
  <si>
    <t>469.32</t>
  </si>
  <si>
    <t>27/10/2023</t>
  </si>
  <si>
    <t>263.93</t>
  </si>
  <si>
    <t>22/01/2025</t>
  </si>
  <si>
    <t>501.3</t>
  </si>
  <si>
    <t>08/01/2023</t>
  </si>
  <si>
    <t>84.8</t>
  </si>
  <si>
    <t>28/03/2023</t>
  </si>
  <si>
    <t>450.75</t>
  </si>
  <si>
    <t>20/06/2025</t>
  </si>
  <si>
    <t>302.05</t>
  </si>
  <si>
    <t>04/08/2023</t>
  </si>
  <si>
    <t>68.81</t>
  </si>
  <si>
    <t>27/04/2024</t>
  </si>
  <si>
    <t>44.35</t>
  </si>
  <si>
    <t>26/11/2024</t>
  </si>
  <si>
    <t>250.98</t>
  </si>
  <si>
    <t>21/12/2023</t>
  </si>
  <si>
    <t>298.06</t>
  </si>
  <si>
    <t>10/04/2023</t>
  </si>
  <si>
    <t>583.9</t>
  </si>
  <si>
    <t>18/11/2023</t>
  </si>
  <si>
    <t>684.14</t>
  </si>
  <si>
    <t>06/09/2023</t>
  </si>
  <si>
    <t>272.77</t>
  </si>
  <si>
    <t>13/06/2024</t>
  </si>
  <si>
    <t>400.07</t>
  </si>
  <si>
    <t>30/04/2025</t>
  </si>
  <si>
    <t>411.49</t>
  </si>
  <si>
    <t>06/05/2025</t>
  </si>
  <si>
    <t>465.18</t>
  </si>
  <si>
    <t>15/12/2024</t>
  </si>
  <si>
    <t>319.91</t>
  </si>
  <si>
    <t>27/12/2023</t>
  </si>
  <si>
    <t>217.56</t>
  </si>
  <si>
    <t>13/12/2023</t>
  </si>
  <si>
    <t>105.57</t>
  </si>
  <si>
    <t>01/12/2023</t>
  </si>
  <si>
    <t>444.76</t>
  </si>
  <si>
    <t>02/01/2025</t>
  </si>
  <si>
    <t>399.04</t>
  </si>
  <si>
    <t>18/12/2024</t>
  </si>
  <si>
    <t>534.48</t>
  </si>
  <si>
    <t>08/11/2024</t>
  </si>
  <si>
    <t>269.83</t>
  </si>
  <si>
    <t>16/05/2024</t>
  </si>
  <si>
    <t>331.06</t>
  </si>
  <si>
    <t>31/10/2023</t>
  </si>
  <si>
    <t>299.35</t>
  </si>
  <si>
    <t>28/12/2023</t>
  </si>
  <si>
    <t>536.58</t>
  </si>
  <si>
    <t>14/09/2024</t>
  </si>
  <si>
    <t>500.29</t>
  </si>
  <si>
    <t>27/05/2023</t>
  </si>
  <si>
    <t>384.14</t>
  </si>
  <si>
    <t>04/01/2025</t>
  </si>
  <si>
    <t>594.96</t>
  </si>
  <si>
    <t>07/04/2024</t>
  </si>
  <si>
    <t>427.82</t>
  </si>
  <si>
    <t>04/04/2025</t>
  </si>
  <si>
    <t>662.94</t>
  </si>
  <si>
    <t>15/08/2023</t>
  </si>
  <si>
    <t>148.22</t>
  </si>
  <si>
    <t>16/04/2024</t>
  </si>
  <si>
    <t>600.81</t>
  </si>
  <si>
    <t>08/02/2025</t>
  </si>
  <si>
    <t>68.34</t>
  </si>
  <si>
    <t>28/06/2025</t>
  </si>
  <si>
    <t>430.83</t>
  </si>
  <si>
    <t>05/08/2023</t>
  </si>
  <si>
    <t>431.69</t>
  </si>
  <si>
    <t>11/04/2024</t>
  </si>
  <si>
    <t>512.06</t>
  </si>
  <si>
    <t>24/11/2024</t>
  </si>
  <si>
    <t>539.91</t>
  </si>
  <si>
    <t>18/03/2023</t>
  </si>
  <si>
    <t>316.07</t>
  </si>
  <si>
    <t>31/08/2024</t>
  </si>
  <si>
    <t>404.39</t>
  </si>
  <si>
    <t>19/03/2025</t>
  </si>
  <si>
    <t>600.54</t>
  </si>
  <si>
    <t>18/04/2024</t>
  </si>
  <si>
    <t>186.28</t>
  </si>
  <si>
    <t>04/04/2024</t>
  </si>
  <si>
    <t>214.54</t>
  </si>
  <si>
    <t>07/12/2023</t>
  </si>
  <si>
    <t>133.55</t>
  </si>
  <si>
    <t>08/02/2023</t>
  </si>
  <si>
    <t>590.87</t>
  </si>
  <si>
    <t>15/03/2025</t>
  </si>
  <si>
    <t>363.91</t>
  </si>
  <si>
    <t>05/07/2023</t>
  </si>
  <si>
    <t>429.45</t>
  </si>
  <si>
    <t>08/03/2025</t>
  </si>
  <si>
    <t>488.87</t>
  </si>
  <si>
    <t>21/07/2023</t>
  </si>
  <si>
    <t>46.66</t>
  </si>
  <si>
    <t>08/06/2024</t>
  </si>
  <si>
    <t>249.57</t>
  </si>
  <si>
    <t>22/04/2024</t>
  </si>
  <si>
    <t>619.21</t>
  </si>
  <si>
    <t>24/01/2025</t>
  </si>
  <si>
    <t>217.13</t>
  </si>
  <si>
    <t>27/08/2023</t>
  </si>
  <si>
    <t>221.51</t>
  </si>
  <si>
    <t>23/01/2025</t>
  </si>
  <si>
    <t>625</t>
  </si>
  <si>
    <t>04/03/2023</t>
  </si>
  <si>
    <t>147.39</t>
  </si>
  <si>
    <t>18/03/2025</t>
  </si>
  <si>
    <t>121.96</t>
  </si>
  <si>
    <t>03/01/2025</t>
  </si>
  <si>
    <t>193.58</t>
  </si>
  <si>
    <t>20/06/2023</t>
  </si>
  <si>
    <t>265.38</t>
  </si>
  <si>
    <t>20/04/2023</t>
  </si>
  <si>
    <t>634.4</t>
  </si>
  <si>
    <t>20/05/2024</t>
  </si>
  <si>
    <t>321.51</t>
  </si>
  <si>
    <t>28/04/2023</t>
  </si>
  <si>
    <t>112.46</t>
  </si>
  <si>
    <t>337.38</t>
  </si>
  <si>
    <t>02/05/2025</t>
  </si>
  <si>
    <t>61.97</t>
  </si>
  <si>
    <t>18/07/2023</t>
  </si>
  <si>
    <t>373.17</t>
  </si>
  <si>
    <t>04/05/2023</t>
  </si>
  <si>
    <t>693.36</t>
  </si>
  <si>
    <t>23/09/2023</t>
  </si>
  <si>
    <t>91.46</t>
  </si>
  <si>
    <t>13/03/2024</t>
  </si>
  <si>
    <t>273.96</t>
  </si>
  <si>
    <t>27/06/2025</t>
  </si>
  <si>
    <t>588.05</t>
  </si>
  <si>
    <t>17/05/2023</t>
  </si>
  <si>
    <t>385.92</t>
  </si>
  <si>
    <t>28/03/2025</t>
  </si>
  <si>
    <t>562.61</t>
  </si>
  <si>
    <t>16/12/2023</t>
  </si>
  <si>
    <t>61.91</t>
  </si>
  <si>
    <t>05/11/2023</t>
  </si>
  <si>
    <t>41.9</t>
  </si>
  <si>
    <t>19/05/2023</t>
  </si>
  <si>
    <t>444.44</t>
  </si>
  <si>
    <t>20/02/2023</t>
  </si>
  <si>
    <t>65.45</t>
  </si>
  <si>
    <t>14/03/2024</t>
  </si>
  <si>
    <t>583.72</t>
  </si>
  <si>
    <t>13/12/2024</t>
  </si>
  <si>
    <t>384.32</t>
  </si>
  <si>
    <t>11/12/2024</t>
  </si>
  <si>
    <t>538.74</t>
  </si>
  <si>
    <t>12/07/2023</t>
  </si>
  <si>
    <t>17.24</t>
  </si>
  <si>
    <t>16/05/2023</t>
  </si>
  <si>
    <t>615.67</t>
  </si>
  <si>
    <t>09/05/2023</t>
  </si>
  <si>
    <t>219.1</t>
  </si>
  <si>
    <t>09/05/2025</t>
  </si>
  <si>
    <t>144.66</t>
  </si>
  <si>
    <t>16/02/2023</t>
  </si>
  <si>
    <t>317.77</t>
  </si>
  <si>
    <t>20/04/2025</t>
  </si>
  <si>
    <t>223.3</t>
  </si>
  <si>
    <t>30/08/2024</t>
  </si>
  <si>
    <t>342.11</t>
  </si>
  <si>
    <t>02/07/2023</t>
  </si>
  <si>
    <t>670.54</t>
  </si>
  <si>
    <t>07/02/2024</t>
  </si>
  <si>
    <t>546.19</t>
  </si>
  <si>
    <t>15/05/2025</t>
  </si>
  <si>
    <t>14.69</t>
  </si>
  <si>
    <t>13/05/2024</t>
  </si>
  <si>
    <t>263.96</t>
  </si>
  <si>
    <t>30/06/2025</t>
  </si>
  <si>
    <t>75.81</t>
  </si>
  <si>
    <t>23/04/2024</t>
  </si>
  <si>
    <t>406.22</t>
  </si>
  <si>
    <t>26/02/2024</t>
  </si>
  <si>
    <t>103.41</t>
  </si>
  <si>
    <t>28/05/2025</t>
  </si>
  <si>
    <t>173.65</t>
  </si>
  <si>
    <t>25/03/2023</t>
  </si>
  <si>
    <t>434.85</t>
  </si>
  <si>
    <t>03/08/2024</t>
  </si>
  <si>
    <t>436.77</t>
  </si>
  <si>
    <t>22/12/2023</t>
  </si>
  <si>
    <t>572.13</t>
  </si>
  <si>
    <t>17/04/2025</t>
  </si>
  <si>
    <t>468.51</t>
  </si>
  <si>
    <t>04/06/2023</t>
  </si>
  <si>
    <t>309.91</t>
  </si>
  <si>
    <t>19/09/2023</t>
  </si>
  <si>
    <t>399.32</t>
  </si>
  <si>
    <t>27/10/2024</t>
  </si>
  <si>
    <t>238.25</t>
  </si>
  <si>
    <t>04/02/2023</t>
  </si>
  <si>
    <t>182.4</t>
  </si>
  <si>
    <t>04/11/2023</t>
  </si>
  <si>
    <t>65.07</t>
  </si>
  <si>
    <t>29/03/2025</t>
  </si>
  <si>
    <t>600.57</t>
  </si>
  <si>
    <t>18/11/2024</t>
  </si>
  <si>
    <t>362.46</t>
  </si>
  <si>
    <t>20/10/2023</t>
  </si>
  <si>
    <t>55.01</t>
  </si>
  <si>
    <t>22/04/2025</t>
  </si>
  <si>
    <t>637.79</t>
  </si>
  <si>
    <t>28/02/2025</t>
  </si>
  <si>
    <t>540.33</t>
  </si>
  <si>
    <t>24/11/2023</t>
  </si>
  <si>
    <t>655.18</t>
  </si>
  <si>
    <t>12/03/2023</t>
  </si>
  <si>
    <t>512.75</t>
  </si>
  <si>
    <t>12/05/2024</t>
  </si>
  <si>
    <t>345.01</t>
  </si>
  <si>
    <t>01/04/2025</t>
  </si>
  <si>
    <t>297.71</t>
  </si>
  <si>
    <t>25/01/2023</t>
  </si>
  <si>
    <t>107.48</t>
  </si>
  <si>
    <t>22/02/2023</t>
  </si>
  <si>
    <t>493.88</t>
  </si>
  <si>
    <t>20/01/2024</t>
  </si>
  <si>
    <t>278.66</t>
  </si>
  <si>
    <t>02/09/2024</t>
  </si>
  <si>
    <t>287.46</t>
  </si>
  <si>
    <t>18/10/2024</t>
  </si>
  <si>
    <t>408.73</t>
  </si>
  <si>
    <t>07/06/2024</t>
  </si>
  <si>
    <t>57.07</t>
  </si>
  <si>
    <t>01/07/2023</t>
  </si>
  <si>
    <t>557.41</t>
  </si>
  <si>
    <t>03/10/2023</t>
  </si>
  <si>
    <t>549.76</t>
  </si>
  <si>
    <t>24/02/2024</t>
  </si>
  <si>
    <t>132.48</t>
  </si>
  <si>
    <t>17/05/2025</t>
  </si>
  <si>
    <t>489.37</t>
  </si>
  <si>
    <t>09/07/2023</t>
  </si>
  <si>
    <t>434.3</t>
  </si>
  <si>
    <t>04/10/2023</t>
  </si>
  <si>
    <t>153.09</t>
  </si>
  <si>
    <t>12/05/2025</t>
  </si>
  <si>
    <t>91.67</t>
  </si>
  <si>
    <t>02/10/2023</t>
  </si>
  <si>
    <t>275.28</t>
  </si>
  <si>
    <t>02/12/2023</t>
  </si>
  <si>
    <t>563.06</t>
  </si>
  <si>
    <t>14/06/2024</t>
  </si>
  <si>
    <t>231.82</t>
  </si>
  <si>
    <t>26/01/2025</t>
  </si>
  <si>
    <t>150.17</t>
  </si>
  <si>
    <t>29/06/2023</t>
  </si>
  <si>
    <t>361.39</t>
  </si>
  <si>
    <t>28/02/2023</t>
  </si>
  <si>
    <t>674.04</t>
  </si>
  <si>
    <t>02/06/2024</t>
  </si>
  <si>
    <t>260.53</t>
  </si>
  <si>
    <t>03/07/2024</t>
  </si>
  <si>
    <t>125.02</t>
  </si>
  <si>
    <t>26/03/2024</t>
  </si>
  <si>
    <t>224.75</t>
  </si>
  <si>
    <t>29/05/2023</t>
  </si>
  <si>
    <t>502.77</t>
  </si>
  <si>
    <t>08/11/2023</t>
  </si>
  <si>
    <t>305.49</t>
  </si>
  <si>
    <t>10/04/2024</t>
  </si>
  <si>
    <t>236.33</t>
  </si>
  <si>
    <t>23/04/2023</t>
  </si>
  <si>
    <t>521.25</t>
  </si>
  <si>
    <t>23/09/2024</t>
  </si>
  <si>
    <t>167.15</t>
  </si>
  <si>
    <t>26/02/2023</t>
  </si>
  <si>
    <t>527.57</t>
  </si>
  <si>
    <t>06/03/2025</t>
  </si>
  <si>
    <t>623.34</t>
  </si>
  <si>
    <t>06/12/2024</t>
  </si>
  <si>
    <t>655.09</t>
  </si>
  <si>
    <t>03/02/2024</t>
  </si>
  <si>
    <t>264.79</t>
  </si>
  <si>
    <t>03/06/2023</t>
  </si>
  <si>
    <t>54.41</t>
  </si>
  <si>
    <t>15/02/2025</t>
  </si>
  <si>
    <t>64.66</t>
  </si>
  <si>
    <t>31/08/2023</t>
  </si>
  <si>
    <t>173.96</t>
  </si>
  <si>
    <t>11/07/2023</t>
  </si>
  <si>
    <t>693.41</t>
  </si>
  <si>
    <t>03/06/2025</t>
  </si>
  <si>
    <t>433.33</t>
  </si>
  <si>
    <t>06/05/2023</t>
  </si>
  <si>
    <t>374.58</t>
  </si>
  <si>
    <t>09/06/2023</t>
  </si>
  <si>
    <t>606.57</t>
  </si>
  <si>
    <t>06/06/2024</t>
  </si>
  <si>
    <t>589.57</t>
  </si>
  <si>
    <t>29/06/2024</t>
  </si>
  <si>
    <t>659.85</t>
  </si>
  <si>
    <t>10/02/2023</t>
  </si>
  <si>
    <t>602.24</t>
  </si>
  <si>
    <t>02/01/2023</t>
  </si>
  <si>
    <t>341.15</t>
  </si>
  <si>
    <t>16/01/2025</t>
  </si>
  <si>
    <t>95.03</t>
  </si>
  <si>
    <t>24/08/2023</t>
  </si>
  <si>
    <t>201.22</t>
  </si>
  <si>
    <t>01/02/2024</t>
  </si>
  <si>
    <t>64.5</t>
  </si>
  <si>
    <t>30/01/2025</t>
  </si>
  <si>
    <t>263.09</t>
  </si>
  <si>
    <t>17/12/2023</t>
  </si>
  <si>
    <t>697.5</t>
  </si>
  <si>
    <t>14/07/2023</t>
  </si>
  <si>
    <t>508.69</t>
  </si>
  <si>
    <t>14/07/2024</t>
  </si>
  <si>
    <t>75.01</t>
  </si>
  <si>
    <t>28/09/2023</t>
  </si>
  <si>
    <t>427.06</t>
  </si>
  <si>
    <t>04/09/2024</t>
  </si>
  <si>
    <t>53.93</t>
  </si>
  <si>
    <t>07/01/2024</t>
  </si>
  <si>
    <t>423.93</t>
  </si>
  <si>
    <t>28/09/2024</t>
  </si>
  <si>
    <t>160.22</t>
  </si>
  <si>
    <t>09/04/2023</t>
  </si>
  <si>
    <t>10/11/2024</t>
  </si>
  <si>
    <t>620.21</t>
  </si>
  <si>
    <t>10/12/2023</t>
  </si>
  <si>
    <t>66.1</t>
  </si>
  <si>
    <t>01/01/2025</t>
  </si>
  <si>
    <t>412.53</t>
  </si>
  <si>
    <t>28/06/2023</t>
  </si>
  <si>
    <t>84.13</t>
  </si>
  <si>
    <t>18/01/2024</t>
  </si>
  <si>
    <t>518.23</t>
  </si>
  <si>
    <t>11/04/2025</t>
  </si>
  <si>
    <t>133.01</t>
  </si>
  <si>
    <t>08/10/2023</t>
  </si>
  <si>
    <t>118.8</t>
  </si>
  <si>
    <t>04/05/2025</t>
  </si>
  <si>
    <t>139.57</t>
  </si>
  <si>
    <t>24/10/2023</t>
  </si>
  <si>
    <t>55.41</t>
  </si>
  <si>
    <t>11/01/2023</t>
  </si>
  <si>
    <t>310.93</t>
  </si>
  <si>
    <t>29/11/2024</t>
  </si>
  <si>
    <t>452.7</t>
  </si>
  <si>
    <t>20/07/2024</t>
  </si>
  <si>
    <t>685.2</t>
  </si>
  <si>
    <t>16/03/2025</t>
  </si>
  <si>
    <t>57.45</t>
  </si>
  <si>
    <t>04/09/2023</t>
  </si>
  <si>
    <t>424.32</t>
  </si>
  <si>
    <t>18/10/2023</t>
  </si>
  <si>
    <t>509.58</t>
  </si>
  <si>
    <t>26/08/2024</t>
  </si>
  <si>
    <t>253.05</t>
  </si>
  <si>
    <t>15/01/2024</t>
  </si>
  <si>
    <t>615.1</t>
  </si>
  <si>
    <t>23/07/2023</t>
  </si>
  <si>
    <t>75.78</t>
  </si>
  <si>
    <t>27/11/2024</t>
  </si>
  <si>
    <t>109.29</t>
  </si>
  <si>
    <t>26/06/2023</t>
  </si>
  <si>
    <t>62.81</t>
  </si>
  <si>
    <t>25/05/2025</t>
  </si>
  <si>
    <t>615.83</t>
  </si>
  <si>
    <t>31/03/2025</t>
  </si>
  <si>
    <t>252.68</t>
  </si>
  <si>
    <t>14/03/2023</t>
  </si>
  <si>
    <t>434.42</t>
  </si>
  <si>
    <t>21/06/2025</t>
  </si>
  <si>
    <t>418.36</t>
  </si>
  <si>
    <t>29/09/2023</t>
  </si>
  <si>
    <t>263.62</t>
  </si>
  <si>
    <t>19/04/2025</t>
  </si>
  <si>
    <t>551.27</t>
  </si>
  <si>
    <t>06/01/2023</t>
  </si>
  <si>
    <t>508.12</t>
  </si>
  <si>
    <t>05/03/2025</t>
  </si>
  <si>
    <t>253.74</t>
  </si>
  <si>
    <t>18/02/2023</t>
  </si>
  <si>
    <t>25.29</t>
  </si>
  <si>
    <t>02/03/2025</t>
  </si>
  <si>
    <t>381.41</t>
  </si>
  <si>
    <t>18/01/2023</t>
  </si>
  <si>
    <t>347.92</t>
  </si>
  <si>
    <t>01/08/2023</t>
  </si>
  <si>
    <t>404.79</t>
  </si>
  <si>
    <t>28/01/2025</t>
  </si>
  <si>
    <t>420.26</t>
  </si>
  <si>
    <t>14/03/2025</t>
  </si>
  <si>
    <t>201.21</t>
  </si>
  <si>
    <t>06/04/2023</t>
  </si>
  <si>
    <t>539.46</t>
  </si>
  <si>
    <t>20/05/2023</t>
  </si>
  <si>
    <t>565.25</t>
  </si>
  <si>
    <t>14/05/2025</t>
  </si>
  <si>
    <t>558.27</t>
  </si>
  <si>
    <t>15/02/2023</t>
  </si>
  <si>
    <t>425.03</t>
  </si>
  <si>
    <t>16/12/2024</t>
  </si>
  <si>
    <t>376.76</t>
  </si>
  <si>
    <t>09/02/2025</t>
  </si>
  <si>
    <t>94.88</t>
  </si>
  <si>
    <t>16/04/2023</t>
  </si>
  <si>
    <t>304.15</t>
  </si>
  <si>
    <t>10/05/2025</t>
  </si>
  <si>
    <t>464.29</t>
  </si>
  <si>
    <t>10/03/2023</t>
  </si>
  <si>
    <t>635.98</t>
  </si>
  <si>
    <t>25/02/2024</t>
  </si>
  <si>
    <t>528.06</t>
  </si>
  <si>
    <t>18/02/2025</t>
  </si>
  <si>
    <t>657.79</t>
  </si>
  <si>
    <t>18/07/2024</t>
  </si>
  <si>
    <t>89.41</t>
  </si>
  <si>
    <t>09/06/2024</t>
  </si>
  <si>
    <t>616.1</t>
  </si>
  <si>
    <t>29/01/2024</t>
  </si>
  <si>
    <t>648.65</t>
  </si>
  <si>
    <t>07/08/2023</t>
  </si>
  <si>
    <t>456.06</t>
  </si>
  <si>
    <t>10/03/2024</t>
  </si>
  <si>
    <t>31.96</t>
  </si>
  <si>
    <t>23/08/2023</t>
  </si>
  <si>
    <t>333.83</t>
  </si>
  <si>
    <t>28/01/2023</t>
  </si>
  <si>
    <t>654.27</t>
  </si>
  <si>
    <t>16/07/2024</t>
  </si>
  <si>
    <t>628.12</t>
  </si>
  <si>
    <t>31/01/2023</t>
  </si>
  <si>
    <t>588.85</t>
  </si>
  <si>
    <t>12/12/2023</t>
  </si>
  <si>
    <t>132.68</t>
  </si>
  <si>
    <t>08/04/2025</t>
  </si>
  <si>
    <t>364.28</t>
  </si>
  <si>
    <t>14/05/2023</t>
  </si>
  <si>
    <t>307.98</t>
  </si>
  <si>
    <t>30/09/2024</t>
  </si>
  <si>
    <t>492.94</t>
  </si>
  <si>
    <t>23/11/2024</t>
  </si>
  <si>
    <t>214.08</t>
  </si>
  <si>
    <t>21/03/2025</t>
  </si>
  <si>
    <t>145.05</t>
  </si>
  <si>
    <t>12/06/2023</t>
  </si>
  <si>
    <t>514.6</t>
  </si>
  <si>
    <t>10/02/2025</t>
  </si>
  <si>
    <t>500.8</t>
  </si>
  <si>
    <t>10/09/2023</t>
  </si>
  <si>
    <t>461.13</t>
  </si>
  <si>
    <t>10/01/2025</t>
  </si>
  <si>
    <t>385.16</t>
  </si>
  <si>
    <t>25/11/2024</t>
  </si>
  <si>
    <t>211.82</t>
  </si>
  <si>
    <t>04/10/2024</t>
  </si>
  <si>
    <t>657.07</t>
  </si>
  <si>
    <t>17/10/2024</t>
  </si>
  <si>
    <t>601.6</t>
  </si>
  <si>
    <t>08/02/2024</t>
  </si>
  <si>
    <t>184.47</t>
  </si>
  <si>
    <t>03/09/2024</t>
  </si>
  <si>
    <t>411.34</t>
  </si>
  <si>
    <t>27/03/2024</t>
  </si>
  <si>
    <t>136.34</t>
  </si>
  <si>
    <t>16/01/2024</t>
  </si>
  <si>
    <t>341.96</t>
  </si>
  <si>
    <t>24/09/2023</t>
  </si>
  <si>
    <t>672.89</t>
  </si>
  <si>
    <t>26/03/2023</t>
  </si>
  <si>
    <t>558.63</t>
  </si>
  <si>
    <t>07/07/2023</t>
  </si>
  <si>
    <t>19.73</t>
  </si>
  <si>
    <t>23/06/2023</t>
  </si>
  <si>
    <t>248.84</t>
  </si>
  <si>
    <t>29/09/2024</t>
  </si>
  <si>
    <t>306.35</t>
  </si>
  <si>
    <t>29/04/2024</t>
  </si>
  <si>
    <t>85.22</t>
  </si>
  <si>
    <t>18/01/2025</t>
  </si>
  <si>
    <t>575.83</t>
  </si>
  <si>
    <t>05/06/2024</t>
  </si>
  <si>
    <t>341.84</t>
  </si>
  <si>
    <t>26/10/2024</t>
  </si>
  <si>
    <t>642.04</t>
  </si>
  <si>
    <t>05/02/2023</t>
  </si>
  <si>
    <t>257</t>
  </si>
  <si>
    <t>09/01/2024</t>
  </si>
  <si>
    <t>358.75</t>
  </si>
  <si>
    <t>30/01/2024</t>
  </si>
  <si>
    <t>155.27</t>
  </si>
  <si>
    <t>18/05/2025</t>
  </si>
  <si>
    <t>652.48</t>
  </si>
  <si>
    <t>22/09/2024</t>
  </si>
  <si>
    <t>34.84</t>
  </si>
  <si>
    <t>07/02/2025</t>
  </si>
  <si>
    <t>234.37</t>
  </si>
  <si>
    <t>13/09/2023</t>
  </si>
  <si>
    <t>332.09</t>
  </si>
  <si>
    <t>12/03/2025</t>
  </si>
  <si>
    <t>176.58</t>
  </si>
  <si>
    <t>04/02/2025</t>
  </si>
  <si>
    <t>94.85</t>
  </si>
  <si>
    <t>13/11/2023</t>
  </si>
  <si>
    <t>614.15</t>
  </si>
  <si>
    <t>25/09/2024</t>
  </si>
  <si>
    <t>92.91</t>
  </si>
  <si>
    <t>22/03/2023</t>
  </si>
  <si>
    <t>92.79</t>
  </si>
  <si>
    <t>30/03/2025</t>
  </si>
  <si>
    <t>49.08</t>
  </si>
  <si>
    <t>04/07/2024</t>
  </si>
  <si>
    <t>475.78</t>
  </si>
  <si>
    <t>26/07/2024</t>
  </si>
  <si>
    <t>653.63</t>
  </si>
  <si>
    <t>16/10/2023</t>
  </si>
  <si>
    <t>122.11</t>
  </si>
  <si>
    <t>08/04/2023</t>
  </si>
  <si>
    <t>64.74</t>
  </si>
  <si>
    <t>21/01/2024</t>
  </si>
  <si>
    <t>681.06</t>
  </si>
  <si>
    <t>21/09/2023</t>
  </si>
  <si>
    <t>128.95</t>
  </si>
  <si>
    <t>18/03/2024</t>
  </si>
  <si>
    <t>118.59</t>
  </si>
  <si>
    <t>25/10/2024</t>
  </si>
  <si>
    <t>583.02</t>
  </si>
  <si>
    <t>29/07/2024</t>
  </si>
  <si>
    <t>325.76</t>
  </si>
  <si>
    <t>04/12/2023</t>
  </si>
  <si>
    <t>494.84</t>
  </si>
  <si>
    <t>28/06/2024</t>
  </si>
  <si>
    <t>44.07</t>
  </si>
  <si>
    <t>09/02/2024</t>
  </si>
  <si>
    <t>418.53</t>
  </si>
  <si>
    <t>03/01/2024</t>
  </si>
  <si>
    <t>532.87</t>
  </si>
  <si>
    <t>04/06/2025</t>
  </si>
  <si>
    <t>485.37</t>
  </si>
  <si>
    <t>30/11/2024</t>
  </si>
  <si>
    <t>699.93</t>
  </si>
  <si>
    <t>12/06/2024</t>
  </si>
  <si>
    <t>461.37</t>
  </si>
  <si>
    <t>02/03/2023</t>
  </si>
  <si>
    <t>111.3</t>
  </si>
  <si>
    <t>24/02/2025</t>
  </si>
  <si>
    <t>661.89</t>
  </si>
  <si>
    <t>13/04/2025</t>
  </si>
  <si>
    <t>518.39</t>
  </si>
  <si>
    <t>24/04/2024</t>
  </si>
  <si>
    <t>241.49</t>
  </si>
  <si>
    <t>13/06/2023</t>
  </si>
  <si>
    <t>336.71</t>
  </si>
  <si>
    <t>24/07/2023</t>
  </si>
  <si>
    <t>308.01</t>
  </si>
  <si>
    <t>11/02/2024</t>
  </si>
  <si>
    <t>314.38</t>
  </si>
  <si>
    <t>21/08/2023</t>
  </si>
  <si>
    <t>21.19</t>
  </si>
  <si>
    <t>11/08/2024</t>
  </si>
  <si>
    <t>493.63</t>
  </si>
  <si>
    <t>29/07/2023</t>
  </si>
  <si>
    <t>176.1</t>
  </si>
  <si>
    <t>17/03/2024</t>
  </si>
  <si>
    <t>221.96</t>
  </si>
  <si>
    <t>17/08/2023</t>
  </si>
  <si>
    <t>691.28</t>
  </si>
  <si>
    <t>20/11/2024</t>
  </si>
  <si>
    <t>115.77</t>
  </si>
  <si>
    <t>01/01/2024</t>
  </si>
  <si>
    <t>236.5</t>
  </si>
  <si>
    <t>13/02/2024</t>
  </si>
  <si>
    <t>134.05</t>
  </si>
  <si>
    <t>31/05/2023</t>
  </si>
  <si>
    <t>553.56</t>
  </si>
  <si>
    <t>04/08/2024</t>
  </si>
  <si>
    <t>569.84</t>
  </si>
  <si>
    <t>07/10/2024</t>
  </si>
  <si>
    <t>653.13</t>
  </si>
  <si>
    <t>25/05/2023</t>
  </si>
  <si>
    <t>639.88</t>
  </si>
  <si>
    <t>14/06/2025</t>
  </si>
  <si>
    <t>655.55</t>
  </si>
  <si>
    <t>19/09/2024</t>
  </si>
  <si>
    <t>443.22</t>
  </si>
  <si>
    <t>13/05/2025</t>
  </si>
  <si>
    <t>430.06</t>
  </si>
  <si>
    <t>04/12/2024</t>
  </si>
  <si>
    <t>320.92</t>
  </si>
  <si>
    <t>09/06/2025</t>
  </si>
  <si>
    <t>214.35</t>
  </si>
  <si>
    <t>28/08/2024</t>
  </si>
  <si>
    <t>261.33</t>
  </si>
  <si>
    <t>30/04/2023</t>
  </si>
  <si>
    <t>677.37</t>
  </si>
  <si>
    <t>26/05/2024</t>
  </si>
  <si>
    <t>142.58</t>
  </si>
  <si>
    <t>01/06/2025</t>
  </si>
  <si>
    <t>470.09</t>
  </si>
  <si>
    <t>25/07/2024</t>
  </si>
  <si>
    <t>524.06</t>
  </si>
  <si>
    <t>01/06/2023</t>
  </si>
  <si>
    <t>330.69</t>
  </si>
  <si>
    <t>03/01/2023</t>
  </si>
  <si>
    <t>448.85</t>
  </si>
  <si>
    <t>15/05/2024</t>
  </si>
  <si>
    <t>595.54</t>
  </si>
  <si>
    <t>23/07/2024</t>
  </si>
  <si>
    <t>266.95</t>
  </si>
  <si>
    <t>04/06/2024</t>
  </si>
  <si>
    <t>394.53</t>
  </si>
  <si>
    <t>09/11/2023</t>
  </si>
  <si>
    <t>154.64</t>
  </si>
  <si>
    <t>13/08/2024</t>
  </si>
  <si>
    <t>396.86</t>
  </si>
  <si>
    <t>16/02/2024</t>
  </si>
  <si>
    <t>502.99</t>
  </si>
  <si>
    <t>21/06/2024</t>
  </si>
  <si>
    <t>578.83</t>
  </si>
  <si>
    <t>20/01/2025</t>
  </si>
  <si>
    <t>383.82</t>
  </si>
  <si>
    <t>17/06/2024</t>
  </si>
  <si>
    <t>563.82</t>
  </si>
  <si>
    <t>09/05/2024</t>
  </si>
  <si>
    <t>247.11</t>
  </si>
  <si>
    <t>16/04/2025</t>
  </si>
  <si>
    <t>521.4</t>
  </si>
  <si>
    <t>22/10/2024</t>
  </si>
  <si>
    <t>443.44</t>
  </si>
  <si>
    <t>12/01/2023</t>
  </si>
  <si>
    <t>643.89</t>
  </si>
  <si>
    <t>18/06/2025</t>
  </si>
  <si>
    <t>578.28</t>
  </si>
  <si>
    <t>20/05/2025</t>
  </si>
  <si>
    <t>280.52</t>
  </si>
  <si>
    <t>07/09/2024</t>
  </si>
  <si>
    <t>627.15</t>
  </si>
  <si>
    <t>25/06/2024</t>
  </si>
  <si>
    <t>107.49</t>
  </si>
  <si>
    <t>14/10/2023</t>
  </si>
  <si>
    <t>69.65</t>
  </si>
  <si>
    <t>23/03/2023</t>
  </si>
  <si>
    <t>246.11</t>
  </si>
  <si>
    <t>19/11/2023</t>
  </si>
  <si>
    <t>418.26</t>
  </si>
  <si>
    <t>06/04/2024</t>
  </si>
  <si>
    <t>267.45</t>
  </si>
  <si>
    <t>21/06/2023</t>
  </si>
  <si>
    <t>260.93</t>
  </si>
  <si>
    <t>13/01/2023</t>
  </si>
  <si>
    <t>410.88</t>
  </si>
  <si>
    <t>25/08/2024</t>
  </si>
  <si>
    <t>680.85</t>
  </si>
  <si>
    <t>21/05/2024</t>
  </si>
  <si>
    <t>554.83</t>
  </si>
  <si>
    <t>24/12/2024</t>
  </si>
  <si>
    <t>370.85</t>
  </si>
  <si>
    <t>12/11/2023</t>
  </si>
  <si>
    <t>506.11</t>
  </si>
  <si>
    <t>11/01/2025</t>
  </si>
  <si>
    <t>179.96</t>
  </si>
  <si>
    <t>11/09/2023</t>
  </si>
  <si>
    <t>531.74</t>
  </si>
  <si>
    <t>15/09/2024</t>
  </si>
  <si>
    <t>496.62</t>
  </si>
  <si>
    <t>07/05/2024</t>
  </si>
  <si>
    <t>273.43</t>
  </si>
  <si>
    <t>30/10/2023</t>
  </si>
  <si>
    <t>666.8</t>
  </si>
  <si>
    <t>20/06/2024</t>
  </si>
  <si>
    <t>634</t>
  </si>
  <si>
    <t>26/12/2024</t>
  </si>
  <si>
    <t>506.45</t>
  </si>
  <si>
    <t>17/06/2023</t>
  </si>
  <si>
    <t>255.86</t>
  </si>
  <si>
    <t>20/03/2023</t>
  </si>
  <si>
    <t>634.94</t>
  </si>
  <si>
    <t>08/04/2024</t>
  </si>
  <si>
    <t>77.47</t>
  </si>
  <si>
    <t>14/04/2023</t>
  </si>
  <si>
    <t>554.25</t>
  </si>
  <si>
    <t>03/04/2023</t>
  </si>
  <si>
    <t>381.61</t>
  </si>
  <si>
    <t>11/03/2025</t>
  </si>
  <si>
    <t>224.37</t>
  </si>
  <si>
    <t>23/12/2024</t>
  </si>
  <si>
    <t>525.43</t>
  </si>
  <si>
    <t>10/09/2024</t>
  </si>
  <si>
    <t>91.74</t>
  </si>
  <si>
    <t>27/04/2023</t>
  </si>
  <si>
    <t>127.55</t>
  </si>
  <si>
    <t>08/07/2024</t>
  </si>
  <si>
    <t>343.31</t>
  </si>
  <si>
    <t>17/08/2024</t>
  </si>
  <si>
    <t>389.22</t>
  </si>
  <si>
    <t>04/03/2024</t>
  </si>
  <si>
    <t>662.53</t>
  </si>
  <si>
    <t>22/08/2024</t>
  </si>
  <si>
    <t>262.52</t>
  </si>
  <si>
    <t>Order ID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</si>
  <si>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</si>
  <si>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</si>
  <si>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</si>
  <si>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</si>
  <si>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</si>
  <si>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</si>
  <si>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</si>
  <si>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</si>
  <si>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</si>
  <si>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</si>
  <si>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</si>
  <si>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</si>
  <si>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</si>
  <si>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</si>
  <si>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</si>
  <si>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</si>
  <si>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</si>
  <si>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</si>
  <si>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</si>
  <si>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</si>
  <si>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</si>
  <si>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</si>
  <si>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</si>
  <si>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</si>
  <si>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Cost Price</t>
  </si>
  <si>
    <t>Profit</t>
  </si>
  <si>
    <t>Median</t>
  </si>
  <si>
    <t>Count</t>
  </si>
  <si>
    <t>Sales Summary</t>
  </si>
  <si>
    <t>Total</t>
  </si>
  <si>
    <t>Mean</t>
  </si>
  <si>
    <t>Minimum</t>
  </si>
  <si>
    <t>Maximum</t>
  </si>
  <si>
    <t>Sum</t>
  </si>
  <si>
    <t>Sum of Total Price</t>
  </si>
  <si>
    <t>Figures</t>
  </si>
  <si>
    <t>Metric</t>
  </si>
  <si>
    <t>Result</t>
  </si>
  <si>
    <t>Avg. Sales</t>
  </si>
  <si>
    <t>Top Product</t>
  </si>
  <si>
    <t>Outliers</t>
  </si>
  <si>
    <t>Correlation (Sales-Profit)</t>
  </si>
  <si>
    <t>Highest Sales Referral Source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</si>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</sst>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32"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9"/>
        </patternFill>
      </fill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[Esther Udoh Decodelabs Project 2.xlsx]Pivot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Table'!$B$4:$B$11</c:f>
              <c:numCache>
                <c:formatCode>General</c:formatCode>
                <c:ptCount val="7"/>
                <c:pt idx="0">
                  <c:v>68185.289999999994</c:v>
                </c:pt>
                <c:pt idx="1">
                  <c:v>75912.240000000005</c:v>
                </c:pt>
                <c:pt idx="2">
                  <c:v>68235.960000000006</c:v>
                </c:pt>
                <c:pt idx="3">
                  <c:v>64828.12000000001</c:v>
                </c:pt>
                <c:pt idx="4">
                  <c:v>47924.07</c:v>
                </c:pt>
                <c:pt idx="5">
                  <c:v>88736.920000000013</c:v>
                </c:pt>
                <c:pt idx="6">
                  <c:v>75264.899999999994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3-4DA2-9BE2-EBAAB0CD7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192959"/>
        <c:axId val="1591195039"/>
      </c:barChart>
      <c:catAx>
        <c:axId val="1591192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95039"/>
        <c:crosses val="autoZero"/>
        <c:auto val="1"/>
        <c:lblAlgn val="ctr"/>
        <c:lblOffset val="100"/>
        <c:noMultiLvlLbl val="0"/>
      </c:catAx>
      <c:valAx>
        <c:axId val="15911950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9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[Esther Udoh Decodelabs Project 2.xlsx]Pivot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Source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Table'!$D$4:$D$9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Table'!$E$4:$E$9</c:f>
              <c:numCache>
                <c:formatCode>General</c:formatCode>
                <c:ptCount val="5"/>
                <c:pt idx="0">
                  <c:v>100291.34999999999</c:v>
                </c:pt>
                <c:pt idx="1">
                  <c:v>76271.080000000031</c:v>
                </c:pt>
                <c:pt idx="2">
                  <c:v>103688.01000000001</c:v>
                </c:pt>
                <c:pt idx="3">
                  <c:v>112552.05999999998</c:v>
                </c:pt>
                <c:pt idx="4">
                  <c:v>96285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3-45C1-90B3-AD3A0F3A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178815"/>
        <c:axId val="1591170079"/>
      </c:barChart>
      <c:catAx>
        <c:axId val="159117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70079"/>
        <c:crosses val="autoZero"/>
        <c:auto val="1"/>
        <c:lblAlgn val="ctr"/>
        <c:lblOffset val="100"/>
        <c:noMultiLvlLbl val="0"/>
      </c:catAx>
      <c:valAx>
        <c:axId val="15911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[Esther Udoh Decodelabs Project 2.xlsx]Pivot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Table'!$H$4:$H$16</c:f>
              <c:numCache>
                <c:formatCode>General</c:formatCode>
                <c:ptCount val="12"/>
                <c:pt idx="0">
                  <c:v>65975.100000000006</c:v>
                </c:pt>
                <c:pt idx="1">
                  <c:v>36998.469999999994</c:v>
                </c:pt>
                <c:pt idx="2">
                  <c:v>42820.69</c:v>
                </c:pt>
                <c:pt idx="3">
                  <c:v>43832.15</c:v>
                </c:pt>
                <c:pt idx="4">
                  <c:v>55994.039999999994</c:v>
                </c:pt>
                <c:pt idx="5">
                  <c:v>66383.459999999992</c:v>
                </c:pt>
                <c:pt idx="6">
                  <c:v>26592.97</c:v>
                </c:pt>
                <c:pt idx="7">
                  <c:v>32164.109999999993</c:v>
                </c:pt>
                <c:pt idx="8">
                  <c:v>27303.52</c:v>
                </c:pt>
                <c:pt idx="9">
                  <c:v>30313.040000000001</c:v>
                </c:pt>
                <c:pt idx="10">
                  <c:v>28259.370000000003</c:v>
                </c:pt>
                <c:pt idx="11">
                  <c:v>32450.579999999994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BE-4F00-8B6C-146DF9562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359807"/>
        <c:axId val="1668376863"/>
      </c:lineChart>
      <c:catAx>
        <c:axId val="166835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376863"/>
        <c:crosses val="autoZero"/>
        <c:auto val="1"/>
        <c:lblAlgn val="ctr"/>
        <c:lblOffset val="100"/>
        <c:noMultiLvlLbl val="0"/>
      </c:catAx>
      <c:valAx>
        <c:axId val="16683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35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 Data'!$P$1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Data'!$N$2:$N$465</c:f>
              <c:numCache>
                <c:formatCode>General</c:formatCode>
                <c:ptCount val="463"/>
                <c:pt idx="0">
                  <c:v>3456.3999999999996</c:v>
                </c:pt>
                <c:pt idx="1">
                  <c:v>3370.2</c:v>
                </c:pt>
                <c:pt idx="2">
                  <c:v>3334</c:v>
                </c:pt>
                <c:pt idx="3">
                  <c:v>3299.25</c:v>
                </c:pt>
                <c:pt idx="4">
                  <c:v>3277.75</c:v>
                </c:pt>
                <c:pt idx="5">
                  <c:v>3243.25</c:v>
                </c:pt>
                <c:pt idx="6">
                  <c:v>3219.45</c:v>
                </c:pt>
                <c:pt idx="7">
                  <c:v>3215.1499999999996</c:v>
                </c:pt>
                <c:pt idx="8">
                  <c:v>3170</c:v>
                </c:pt>
                <c:pt idx="9">
                  <c:v>3129.8500000000004</c:v>
                </c:pt>
                <c:pt idx="10">
                  <c:v>3097.6</c:v>
                </c:pt>
                <c:pt idx="11">
                  <c:v>3078.35</c:v>
                </c:pt>
                <c:pt idx="12">
                  <c:v>3075.5</c:v>
                </c:pt>
                <c:pt idx="13">
                  <c:v>2894.15</c:v>
                </c:pt>
                <c:pt idx="14">
                  <c:v>2853.1</c:v>
                </c:pt>
                <c:pt idx="15">
                  <c:v>2793.15</c:v>
                </c:pt>
                <c:pt idx="16">
                  <c:v>2790</c:v>
                </c:pt>
                <c:pt idx="17">
                  <c:v>2773.44</c:v>
                </c:pt>
                <c:pt idx="18">
                  <c:v>2756.35</c:v>
                </c:pt>
                <c:pt idx="19">
                  <c:v>2753.3999999999996</c:v>
                </c:pt>
                <c:pt idx="20">
                  <c:v>2740.8</c:v>
                </c:pt>
                <c:pt idx="21">
                  <c:v>2709.48</c:v>
                </c:pt>
                <c:pt idx="22">
                  <c:v>2683.6000000000004</c:v>
                </c:pt>
                <c:pt idx="23">
                  <c:v>2682.9</c:v>
                </c:pt>
                <c:pt idx="24">
                  <c:v>2651.76</c:v>
                </c:pt>
                <c:pt idx="25">
                  <c:v>2631.16</c:v>
                </c:pt>
                <c:pt idx="26">
                  <c:v>2620.7199999999998</c:v>
                </c:pt>
                <c:pt idx="27">
                  <c:v>2612.52</c:v>
                </c:pt>
                <c:pt idx="28">
                  <c:v>2609.92</c:v>
                </c:pt>
                <c:pt idx="29">
                  <c:v>2606.25</c:v>
                </c:pt>
                <c:pt idx="30">
                  <c:v>2573</c:v>
                </c:pt>
                <c:pt idx="31">
                  <c:v>2551.16</c:v>
                </c:pt>
                <c:pt idx="32">
                  <c:v>2547.9</c:v>
                </c:pt>
                <c:pt idx="33">
                  <c:v>2543.4499999999998</c:v>
                </c:pt>
                <c:pt idx="34">
                  <c:v>2532.25</c:v>
                </c:pt>
                <c:pt idx="35">
                  <c:v>2513.5499999999997</c:v>
                </c:pt>
                <c:pt idx="36">
                  <c:v>2512.48</c:v>
                </c:pt>
                <c:pt idx="37">
                  <c:v>2504.04</c:v>
                </c:pt>
                <c:pt idx="38">
                  <c:v>2492.4</c:v>
                </c:pt>
                <c:pt idx="39">
                  <c:v>2464.6999999999998</c:v>
                </c:pt>
                <c:pt idx="40">
                  <c:v>2463.75</c:v>
                </c:pt>
                <c:pt idx="41">
                  <c:v>2463.3200000000002</c:v>
                </c:pt>
                <c:pt idx="42">
                  <c:v>2446.85</c:v>
                </c:pt>
                <c:pt idx="43">
                  <c:v>2426.2800000000002</c:v>
                </c:pt>
                <c:pt idx="44">
                  <c:v>2403.2399999999998</c:v>
                </c:pt>
                <c:pt idx="45">
                  <c:v>2373.08</c:v>
                </c:pt>
                <c:pt idx="46">
                  <c:v>2358.2800000000002</c:v>
                </c:pt>
                <c:pt idx="47">
                  <c:v>2355.4</c:v>
                </c:pt>
                <c:pt idx="48">
                  <c:v>2342.5500000000002</c:v>
                </c:pt>
                <c:pt idx="49">
                  <c:v>2332.08</c:v>
                </c:pt>
                <c:pt idx="50">
                  <c:v>2313.12</c:v>
                </c:pt>
                <c:pt idx="51">
                  <c:v>2306.08</c:v>
                </c:pt>
                <c:pt idx="52">
                  <c:v>2280.3000000000002</c:v>
                </c:pt>
                <c:pt idx="53">
                  <c:v>2276.65</c:v>
                </c:pt>
                <c:pt idx="54">
                  <c:v>2260.8000000000002</c:v>
                </c:pt>
                <c:pt idx="55">
                  <c:v>2223.8000000000002</c:v>
                </c:pt>
                <c:pt idx="56">
                  <c:v>2219.3200000000002</c:v>
                </c:pt>
                <c:pt idx="57">
                  <c:v>2200.56</c:v>
                </c:pt>
                <c:pt idx="58">
                  <c:v>2199.04</c:v>
                </c:pt>
                <c:pt idx="59">
                  <c:v>2161.3200000000002</c:v>
                </c:pt>
                <c:pt idx="60">
                  <c:v>2158.4499999999998</c:v>
                </c:pt>
                <c:pt idx="61">
                  <c:v>2147.25</c:v>
                </c:pt>
                <c:pt idx="62">
                  <c:v>2137.92</c:v>
                </c:pt>
                <c:pt idx="63">
                  <c:v>2131.48</c:v>
                </c:pt>
                <c:pt idx="64">
                  <c:v>2119.65</c:v>
                </c:pt>
                <c:pt idx="65">
                  <c:v>2099.79</c:v>
                </c:pt>
                <c:pt idx="66">
                  <c:v>2092.6499999999996</c:v>
                </c:pt>
                <c:pt idx="67">
                  <c:v>2052.42</c:v>
                </c:pt>
                <c:pt idx="68">
                  <c:v>2051</c:v>
                </c:pt>
                <c:pt idx="69">
                  <c:v>2048.2399999999998</c:v>
                </c:pt>
                <c:pt idx="70">
                  <c:v>2043.65</c:v>
                </c:pt>
                <c:pt idx="71">
                  <c:v>2037.52</c:v>
                </c:pt>
                <c:pt idx="72">
                  <c:v>2024.44</c:v>
                </c:pt>
                <c:pt idx="73">
                  <c:v>2021.9499999999998</c:v>
                </c:pt>
                <c:pt idx="74">
                  <c:v>2011.96</c:v>
                </c:pt>
                <c:pt idx="75">
                  <c:v>1994.37</c:v>
                </c:pt>
                <c:pt idx="76">
                  <c:v>1985.67</c:v>
                </c:pt>
                <c:pt idx="77">
                  <c:v>1984.3000000000002</c:v>
                </c:pt>
                <c:pt idx="78">
                  <c:v>1979.36</c:v>
                </c:pt>
                <c:pt idx="79">
                  <c:v>1960.8899999999999</c:v>
                </c:pt>
                <c:pt idx="80">
                  <c:v>1946.1000000000001</c:v>
                </c:pt>
                <c:pt idx="81">
                  <c:v>1919.1</c:v>
                </c:pt>
                <c:pt idx="82">
                  <c:v>1907.94</c:v>
                </c:pt>
                <c:pt idx="83">
                  <c:v>1898.76</c:v>
                </c:pt>
                <c:pt idx="84">
                  <c:v>1880.36</c:v>
                </c:pt>
                <c:pt idx="85">
                  <c:v>1874.95</c:v>
                </c:pt>
                <c:pt idx="86">
                  <c:v>1872.8999999999999</c:v>
                </c:pt>
                <c:pt idx="87">
                  <c:v>1870.02</c:v>
                </c:pt>
                <c:pt idx="88">
                  <c:v>1857.63</c:v>
                </c:pt>
                <c:pt idx="89">
                  <c:v>1857.16</c:v>
                </c:pt>
                <c:pt idx="90">
                  <c:v>1842.4499999999998</c:v>
                </c:pt>
                <c:pt idx="91">
                  <c:v>1834.3500000000001</c:v>
                </c:pt>
                <c:pt idx="92">
                  <c:v>1821.3999999999999</c:v>
                </c:pt>
                <c:pt idx="93">
                  <c:v>1812.3</c:v>
                </c:pt>
                <c:pt idx="94">
                  <c:v>1806.72</c:v>
                </c:pt>
                <c:pt idx="95">
                  <c:v>1804.8000000000002</c:v>
                </c:pt>
                <c:pt idx="96">
                  <c:v>1803</c:v>
                </c:pt>
                <c:pt idx="97">
                  <c:v>1778.6100000000001</c:v>
                </c:pt>
                <c:pt idx="98">
                  <c:v>1777.76</c:v>
                </c:pt>
                <c:pt idx="99">
                  <c:v>1768.6799999999998</c:v>
                </c:pt>
                <c:pt idx="100">
                  <c:v>1764.1499999999999</c:v>
                </c:pt>
                <c:pt idx="101">
                  <c:v>1751.16</c:v>
                </c:pt>
                <c:pt idx="102">
                  <c:v>1739.6000000000001</c:v>
                </c:pt>
                <c:pt idx="103">
                  <c:v>1739.4</c:v>
                </c:pt>
                <c:pt idx="104">
                  <c:v>1737.68</c:v>
                </c:pt>
                <c:pt idx="105">
                  <c:v>1733.8</c:v>
                </c:pt>
                <c:pt idx="106">
                  <c:v>1724.04</c:v>
                </c:pt>
                <c:pt idx="107">
                  <c:v>1723.32</c:v>
                </c:pt>
                <c:pt idx="108">
                  <c:v>1709.8</c:v>
                </c:pt>
                <c:pt idx="109">
                  <c:v>1709.52</c:v>
                </c:pt>
                <c:pt idx="110">
                  <c:v>1709.1999999999998</c:v>
                </c:pt>
                <c:pt idx="111">
                  <c:v>1695.75</c:v>
                </c:pt>
                <c:pt idx="112">
                  <c:v>1686.9</c:v>
                </c:pt>
                <c:pt idx="113">
                  <c:v>1672.23</c:v>
                </c:pt>
                <c:pt idx="114">
                  <c:v>1662.75</c:v>
                </c:pt>
                <c:pt idx="115">
                  <c:v>1619.73</c:v>
                </c:pt>
                <c:pt idx="116">
                  <c:v>1618.38</c:v>
                </c:pt>
                <c:pt idx="117">
                  <c:v>1616.22</c:v>
                </c:pt>
                <c:pt idx="118">
                  <c:v>1600.28</c:v>
                </c:pt>
                <c:pt idx="119">
                  <c:v>1580.35</c:v>
                </c:pt>
                <c:pt idx="120">
                  <c:v>1571.35</c:v>
                </c:pt>
                <c:pt idx="121">
                  <c:v>1543.68</c:v>
                </c:pt>
                <c:pt idx="122">
                  <c:v>1539.9</c:v>
                </c:pt>
                <c:pt idx="123">
                  <c:v>1537.28</c:v>
                </c:pt>
                <c:pt idx="124">
                  <c:v>1531.52</c:v>
                </c:pt>
                <c:pt idx="125">
                  <c:v>1527.45</c:v>
                </c:pt>
                <c:pt idx="126">
                  <c:v>1524.3600000000001</c:v>
                </c:pt>
                <c:pt idx="127">
                  <c:v>1508.31</c:v>
                </c:pt>
                <c:pt idx="128">
                  <c:v>1503.9</c:v>
                </c:pt>
                <c:pt idx="129">
                  <c:v>1500.24</c:v>
                </c:pt>
                <c:pt idx="130">
                  <c:v>1497.6299999999999</c:v>
                </c:pt>
                <c:pt idx="131">
                  <c:v>1437.6299999999999</c:v>
                </c:pt>
                <c:pt idx="132">
                  <c:v>1435.9499999999998</c:v>
                </c:pt>
                <c:pt idx="133">
                  <c:v>1435</c:v>
                </c:pt>
                <c:pt idx="134">
                  <c:v>1407.96</c:v>
                </c:pt>
                <c:pt idx="135">
                  <c:v>1402.6</c:v>
                </c:pt>
                <c:pt idx="136">
                  <c:v>1395.15</c:v>
                </c:pt>
                <c:pt idx="137">
                  <c:v>1371.8</c:v>
                </c:pt>
                <c:pt idx="138">
                  <c:v>1363.85</c:v>
                </c:pt>
                <c:pt idx="139">
                  <c:v>1362.12</c:v>
                </c:pt>
                <c:pt idx="140">
                  <c:v>1361.7</c:v>
                </c:pt>
                <c:pt idx="141">
                  <c:v>1330.32</c:v>
                </c:pt>
                <c:pt idx="142">
                  <c:v>1325.06</c:v>
                </c:pt>
                <c:pt idx="143">
                  <c:v>1306.6499999999999</c:v>
                </c:pt>
                <c:pt idx="144">
                  <c:v>1304.6500000000001</c:v>
                </c:pt>
                <c:pt idx="145">
                  <c:v>1303.3499999999999</c:v>
                </c:pt>
                <c:pt idx="146">
                  <c:v>1303.04</c:v>
                </c:pt>
                <c:pt idx="147">
                  <c:v>1302.6499999999999</c:v>
                </c:pt>
                <c:pt idx="148">
                  <c:v>1299.99</c:v>
                </c:pt>
                <c:pt idx="149">
                  <c:v>1290.18</c:v>
                </c:pt>
                <c:pt idx="150">
                  <c:v>1286.04</c:v>
                </c:pt>
                <c:pt idx="151">
                  <c:v>1284.08</c:v>
                </c:pt>
                <c:pt idx="152">
                  <c:v>1279.76</c:v>
                </c:pt>
                <c:pt idx="153">
                  <c:v>1270.5899999999999</c:v>
                </c:pt>
                <c:pt idx="154">
                  <c:v>1244.2</c:v>
                </c:pt>
                <c:pt idx="155">
                  <c:v>1239.6400000000001</c:v>
                </c:pt>
                <c:pt idx="156">
                  <c:v>1237.5899999999999</c:v>
                </c:pt>
                <c:pt idx="157">
                  <c:v>1232.6399999999999</c:v>
                </c:pt>
                <c:pt idx="158">
                  <c:v>1225.4000000000001</c:v>
                </c:pt>
                <c:pt idx="159">
                  <c:v>1214.3700000000001</c:v>
                </c:pt>
                <c:pt idx="160">
                  <c:v>1208.2</c:v>
                </c:pt>
                <c:pt idx="161">
                  <c:v>1201.1400000000001</c:v>
                </c:pt>
                <c:pt idx="162">
                  <c:v>1194.51</c:v>
                </c:pt>
                <c:pt idx="163">
                  <c:v>1165.4000000000001</c:v>
                </c:pt>
                <c:pt idx="164">
                  <c:v>1159.0999999999999</c:v>
                </c:pt>
                <c:pt idx="165">
                  <c:v>1151.6600000000001</c:v>
                </c:pt>
                <c:pt idx="166">
                  <c:v>1144.23</c:v>
                </c:pt>
                <c:pt idx="167">
                  <c:v>1135.1600000000001</c:v>
                </c:pt>
                <c:pt idx="168">
                  <c:v>1127.6400000000001</c:v>
                </c:pt>
                <c:pt idx="169">
                  <c:v>1126.1199999999999</c:v>
                </c:pt>
                <c:pt idx="170">
                  <c:v>1120</c:v>
                </c:pt>
                <c:pt idx="171">
                  <c:v>1107.55</c:v>
                </c:pt>
                <c:pt idx="172">
                  <c:v>1102</c:v>
                </c:pt>
                <c:pt idx="173">
                  <c:v>1101.1199999999999</c:v>
                </c:pt>
                <c:pt idx="174">
                  <c:v>1093</c:v>
                </c:pt>
                <c:pt idx="175">
                  <c:v>1084.17</c:v>
                </c:pt>
                <c:pt idx="176">
                  <c:v>1069.3399999999999</c:v>
                </c:pt>
                <c:pt idx="177">
                  <c:v>1067.6199999999999</c:v>
                </c:pt>
                <c:pt idx="178">
                  <c:v>1066.04</c:v>
                </c:pt>
                <c:pt idx="179">
                  <c:v>1059.1600000000001</c:v>
                </c:pt>
                <c:pt idx="180">
                  <c:v>1055.72</c:v>
                </c:pt>
                <c:pt idx="181">
                  <c:v>1054.48</c:v>
                </c:pt>
                <c:pt idx="182">
                  <c:v>1052.3599999999999</c:v>
                </c:pt>
                <c:pt idx="183">
                  <c:v>1050.08</c:v>
                </c:pt>
                <c:pt idx="184">
                  <c:v>1042.8</c:v>
                </c:pt>
                <c:pt idx="185">
                  <c:v>1036.46</c:v>
                </c:pt>
                <c:pt idx="186">
                  <c:v>1033.1999999999998</c:v>
                </c:pt>
                <c:pt idx="187">
                  <c:v>1025.3</c:v>
                </c:pt>
                <c:pt idx="188">
                  <c:v>1023.4499999999999</c:v>
                </c:pt>
                <c:pt idx="189">
                  <c:v>1023.44</c:v>
                </c:pt>
                <c:pt idx="190">
                  <c:v>1010.1299999999999</c:v>
                </c:pt>
                <c:pt idx="191">
                  <c:v>1006.1</c:v>
                </c:pt>
                <c:pt idx="192">
                  <c:v>1001.6</c:v>
                </c:pt>
                <c:pt idx="193">
                  <c:v>1000.58</c:v>
                </c:pt>
                <c:pt idx="194">
                  <c:v>993.24</c:v>
                </c:pt>
                <c:pt idx="195">
                  <c:v>987.76</c:v>
                </c:pt>
                <c:pt idx="196">
                  <c:v>987.26</c:v>
                </c:pt>
                <c:pt idx="197">
                  <c:v>984.44</c:v>
                </c:pt>
                <c:pt idx="198">
                  <c:v>977.74</c:v>
                </c:pt>
                <c:pt idx="199">
                  <c:v>970.74</c:v>
                </c:pt>
                <c:pt idx="200">
                  <c:v>951.56</c:v>
                </c:pt>
                <c:pt idx="201">
                  <c:v>950.40000000000009</c:v>
                </c:pt>
                <c:pt idx="202">
                  <c:v>931.4</c:v>
                </c:pt>
                <c:pt idx="203">
                  <c:v>930.36</c:v>
                </c:pt>
                <c:pt idx="204">
                  <c:v>930.3</c:v>
                </c:pt>
                <c:pt idx="205">
                  <c:v>927.66000000000008</c:v>
                </c:pt>
                <c:pt idx="206">
                  <c:v>924.03</c:v>
                </c:pt>
                <c:pt idx="207">
                  <c:v>922.74</c:v>
                </c:pt>
                <c:pt idx="208">
                  <c:v>922.26</c:v>
                </c:pt>
                <c:pt idx="209">
                  <c:v>912.44999999999993</c:v>
                </c:pt>
                <c:pt idx="210">
                  <c:v>899</c:v>
                </c:pt>
                <c:pt idx="211">
                  <c:v>897.7</c:v>
                </c:pt>
                <c:pt idx="212">
                  <c:v>887.84</c:v>
                </c:pt>
                <c:pt idx="213">
                  <c:v>886.44</c:v>
                </c:pt>
                <c:pt idx="214">
                  <c:v>873.72</c:v>
                </c:pt>
                <c:pt idx="215">
                  <c:v>869.80000000000007</c:v>
                </c:pt>
                <c:pt idx="216">
                  <c:v>868.6</c:v>
                </c:pt>
                <c:pt idx="217">
                  <c:v>868.52</c:v>
                </c:pt>
                <c:pt idx="218">
                  <c:v>868.25</c:v>
                </c:pt>
                <c:pt idx="219">
                  <c:v>858.16</c:v>
                </c:pt>
                <c:pt idx="220">
                  <c:v>857.4</c:v>
                </c:pt>
                <c:pt idx="221">
                  <c:v>853.4</c:v>
                </c:pt>
                <c:pt idx="222">
                  <c:v>850.06</c:v>
                </c:pt>
                <c:pt idx="223">
                  <c:v>848.64</c:v>
                </c:pt>
                <c:pt idx="224">
                  <c:v>836.52</c:v>
                </c:pt>
                <c:pt idx="225">
                  <c:v>834.12000000000012</c:v>
                </c:pt>
                <c:pt idx="226">
                  <c:v>822.98</c:v>
                </c:pt>
                <c:pt idx="227">
                  <c:v>821.87999999999988</c:v>
                </c:pt>
                <c:pt idx="228">
                  <c:v>802.34999999999991</c:v>
                </c:pt>
                <c:pt idx="229">
                  <c:v>798.64</c:v>
                </c:pt>
                <c:pt idx="230">
                  <c:v>798.08</c:v>
                </c:pt>
                <c:pt idx="231">
                  <c:v>788.6</c:v>
                </c:pt>
                <c:pt idx="232">
                  <c:v>786.66</c:v>
                </c:pt>
                <c:pt idx="233">
                  <c:v>770.32</c:v>
                </c:pt>
                <c:pt idx="234">
                  <c:v>769.37999999999988</c:v>
                </c:pt>
                <c:pt idx="235">
                  <c:v>768.28</c:v>
                </c:pt>
                <c:pt idx="236">
                  <c:v>759.15000000000009</c:v>
                </c:pt>
                <c:pt idx="237">
                  <c:v>747.75</c:v>
                </c:pt>
                <c:pt idx="238">
                  <c:v>746.34</c:v>
                </c:pt>
                <c:pt idx="239">
                  <c:v>741.33</c:v>
                </c:pt>
                <c:pt idx="240">
                  <c:v>728.32</c:v>
                </c:pt>
                <c:pt idx="241">
                  <c:v>727.82</c:v>
                </c:pt>
                <c:pt idx="242">
                  <c:v>709.5</c:v>
                </c:pt>
                <c:pt idx="243">
                  <c:v>701.44</c:v>
                </c:pt>
                <c:pt idx="244">
                  <c:v>693.41</c:v>
                </c:pt>
                <c:pt idx="245">
                  <c:v>690.02</c:v>
                </c:pt>
                <c:pt idx="246">
                  <c:v>688.04</c:v>
                </c:pt>
                <c:pt idx="247">
                  <c:v>684.22</c:v>
                </c:pt>
                <c:pt idx="248">
                  <c:v>675.33</c:v>
                </c:pt>
                <c:pt idx="249">
                  <c:v>672.89</c:v>
                </c:pt>
                <c:pt idx="250">
                  <c:v>670.54</c:v>
                </c:pt>
                <c:pt idx="251">
                  <c:v>667.66</c:v>
                </c:pt>
                <c:pt idx="252">
                  <c:v>665.05</c:v>
                </c:pt>
                <c:pt idx="253">
                  <c:v>664.42</c:v>
                </c:pt>
                <c:pt idx="254">
                  <c:v>661.38</c:v>
                </c:pt>
                <c:pt idx="255">
                  <c:v>657.07</c:v>
                </c:pt>
                <c:pt idx="256">
                  <c:v>655.09</c:v>
                </c:pt>
                <c:pt idx="257">
                  <c:v>654.27</c:v>
                </c:pt>
                <c:pt idx="258">
                  <c:v>644.75</c:v>
                </c:pt>
                <c:pt idx="259">
                  <c:v>640.88</c:v>
                </c:pt>
                <c:pt idx="260">
                  <c:v>639.82000000000005</c:v>
                </c:pt>
                <c:pt idx="261">
                  <c:v>635.90000000000009</c:v>
                </c:pt>
                <c:pt idx="262">
                  <c:v>635.54</c:v>
                </c:pt>
                <c:pt idx="263">
                  <c:v>634.94000000000005</c:v>
                </c:pt>
                <c:pt idx="264">
                  <c:v>634.4</c:v>
                </c:pt>
                <c:pt idx="265">
                  <c:v>629.21</c:v>
                </c:pt>
                <c:pt idx="266">
                  <c:v>627.15</c:v>
                </c:pt>
                <c:pt idx="267">
                  <c:v>625.1</c:v>
                </c:pt>
                <c:pt idx="268">
                  <c:v>625</c:v>
                </c:pt>
                <c:pt idx="269">
                  <c:v>623.82000000000005</c:v>
                </c:pt>
                <c:pt idx="270">
                  <c:v>620.21</c:v>
                </c:pt>
                <c:pt idx="271">
                  <c:v>616.1</c:v>
                </c:pt>
                <c:pt idx="272">
                  <c:v>612.36</c:v>
                </c:pt>
                <c:pt idx="273">
                  <c:v>604.47</c:v>
                </c:pt>
                <c:pt idx="274">
                  <c:v>603.63</c:v>
                </c:pt>
                <c:pt idx="275">
                  <c:v>600.54</c:v>
                </c:pt>
                <c:pt idx="276">
                  <c:v>595.54</c:v>
                </c:pt>
                <c:pt idx="277">
                  <c:v>595.41999999999996</c:v>
                </c:pt>
                <c:pt idx="278">
                  <c:v>594.96</c:v>
                </c:pt>
                <c:pt idx="279">
                  <c:v>590.87</c:v>
                </c:pt>
                <c:pt idx="280">
                  <c:v>586.44000000000005</c:v>
                </c:pt>
                <c:pt idx="281">
                  <c:v>583.9</c:v>
                </c:pt>
                <c:pt idx="282">
                  <c:v>583.17999999999995</c:v>
                </c:pt>
                <c:pt idx="283">
                  <c:v>582.04</c:v>
                </c:pt>
                <c:pt idx="284">
                  <c:v>580.74</c:v>
                </c:pt>
                <c:pt idx="285">
                  <c:v>580.20000000000005</c:v>
                </c:pt>
                <c:pt idx="286">
                  <c:v>572.13</c:v>
                </c:pt>
                <c:pt idx="287">
                  <c:v>570.32000000000005</c:v>
                </c:pt>
                <c:pt idx="288">
                  <c:v>564.86</c:v>
                </c:pt>
                <c:pt idx="289">
                  <c:v>562.61</c:v>
                </c:pt>
                <c:pt idx="290">
                  <c:v>558.27</c:v>
                </c:pt>
                <c:pt idx="291">
                  <c:v>556.20000000000005</c:v>
                </c:pt>
                <c:pt idx="292">
                  <c:v>553.55999999999995</c:v>
                </c:pt>
                <c:pt idx="293">
                  <c:v>553.41</c:v>
                </c:pt>
                <c:pt idx="294">
                  <c:v>546.86</c:v>
                </c:pt>
                <c:pt idx="295">
                  <c:v>546.19000000000005</c:v>
                </c:pt>
                <c:pt idx="296">
                  <c:v>539.66</c:v>
                </c:pt>
                <c:pt idx="297">
                  <c:v>537.4</c:v>
                </c:pt>
                <c:pt idx="298">
                  <c:v>533.9</c:v>
                </c:pt>
                <c:pt idx="299">
                  <c:v>531.74</c:v>
                </c:pt>
                <c:pt idx="300">
                  <c:v>531.17999999999995</c:v>
                </c:pt>
                <c:pt idx="301">
                  <c:v>528.05999999999995</c:v>
                </c:pt>
                <c:pt idx="302">
                  <c:v>527.57000000000005</c:v>
                </c:pt>
                <c:pt idx="303">
                  <c:v>525.42999999999995</c:v>
                </c:pt>
                <c:pt idx="304">
                  <c:v>524.05999999999995</c:v>
                </c:pt>
                <c:pt idx="305">
                  <c:v>518.39</c:v>
                </c:pt>
                <c:pt idx="306">
                  <c:v>507.48</c:v>
                </c:pt>
                <c:pt idx="307">
                  <c:v>501.96</c:v>
                </c:pt>
                <c:pt idx="308">
                  <c:v>491.72</c:v>
                </c:pt>
                <c:pt idx="309">
                  <c:v>488.8</c:v>
                </c:pt>
                <c:pt idx="310">
                  <c:v>482.98</c:v>
                </c:pt>
                <c:pt idx="311">
                  <c:v>476.5</c:v>
                </c:pt>
                <c:pt idx="312">
                  <c:v>474.25</c:v>
                </c:pt>
                <c:pt idx="313">
                  <c:v>473.96</c:v>
                </c:pt>
                <c:pt idx="314">
                  <c:v>472.74</c:v>
                </c:pt>
                <c:pt idx="315">
                  <c:v>472.66</c:v>
                </c:pt>
                <c:pt idx="316">
                  <c:v>470.04</c:v>
                </c:pt>
                <c:pt idx="317">
                  <c:v>463.91999999999996</c:v>
                </c:pt>
                <c:pt idx="318">
                  <c:v>463.08</c:v>
                </c:pt>
                <c:pt idx="319">
                  <c:v>461.9</c:v>
                </c:pt>
                <c:pt idx="320">
                  <c:v>458.35</c:v>
                </c:pt>
                <c:pt idx="321">
                  <c:v>454.35</c:v>
                </c:pt>
                <c:pt idx="322">
                  <c:v>452.7</c:v>
                </c:pt>
                <c:pt idx="323">
                  <c:v>448.74</c:v>
                </c:pt>
                <c:pt idx="324">
                  <c:v>445.2</c:v>
                </c:pt>
                <c:pt idx="325">
                  <c:v>442.16999999999996</c:v>
                </c:pt>
                <c:pt idx="326">
                  <c:v>440.18999999999994</c:v>
                </c:pt>
                <c:pt idx="327">
                  <c:v>438.2</c:v>
                </c:pt>
                <c:pt idx="328">
                  <c:v>436.77</c:v>
                </c:pt>
                <c:pt idx="329">
                  <c:v>431.44</c:v>
                </c:pt>
                <c:pt idx="330">
                  <c:v>429.96</c:v>
                </c:pt>
                <c:pt idx="331">
                  <c:v>427.82</c:v>
                </c:pt>
                <c:pt idx="332">
                  <c:v>427.06</c:v>
                </c:pt>
                <c:pt idx="333">
                  <c:v>426.1</c:v>
                </c:pt>
                <c:pt idx="334">
                  <c:v>423.64</c:v>
                </c:pt>
                <c:pt idx="335">
                  <c:v>423.4</c:v>
                </c:pt>
                <c:pt idx="336">
                  <c:v>420.65</c:v>
                </c:pt>
                <c:pt idx="337">
                  <c:v>420.26</c:v>
                </c:pt>
                <c:pt idx="338">
                  <c:v>419.88</c:v>
                </c:pt>
                <c:pt idx="339">
                  <c:v>418.36</c:v>
                </c:pt>
                <c:pt idx="340">
                  <c:v>417.1</c:v>
                </c:pt>
                <c:pt idx="341">
                  <c:v>411.34</c:v>
                </c:pt>
                <c:pt idx="342">
                  <c:v>410.78</c:v>
                </c:pt>
                <c:pt idx="343">
                  <c:v>410.6</c:v>
                </c:pt>
                <c:pt idx="344">
                  <c:v>409.02</c:v>
                </c:pt>
                <c:pt idx="345">
                  <c:v>408.5</c:v>
                </c:pt>
                <c:pt idx="346">
                  <c:v>406.22</c:v>
                </c:pt>
                <c:pt idx="347">
                  <c:v>402.15000000000003</c:v>
                </c:pt>
                <c:pt idx="348">
                  <c:v>399.98</c:v>
                </c:pt>
                <c:pt idx="349">
                  <c:v>397.43999999999994</c:v>
                </c:pt>
                <c:pt idx="350">
                  <c:v>394.53</c:v>
                </c:pt>
                <c:pt idx="351">
                  <c:v>391.83000000000004</c:v>
                </c:pt>
                <c:pt idx="352">
                  <c:v>388.33</c:v>
                </c:pt>
                <c:pt idx="353">
                  <c:v>381.61</c:v>
                </c:pt>
                <c:pt idx="354">
                  <c:v>381.02</c:v>
                </c:pt>
                <c:pt idx="355">
                  <c:v>380.12</c:v>
                </c:pt>
                <c:pt idx="356">
                  <c:v>379.05</c:v>
                </c:pt>
                <c:pt idx="357">
                  <c:v>376.76</c:v>
                </c:pt>
                <c:pt idx="358">
                  <c:v>370.85</c:v>
                </c:pt>
                <c:pt idx="359">
                  <c:v>366.33</c:v>
                </c:pt>
                <c:pt idx="360">
                  <c:v>365.84</c:v>
                </c:pt>
                <c:pt idx="361">
                  <c:v>364.8</c:v>
                </c:pt>
                <c:pt idx="362">
                  <c:v>361</c:v>
                </c:pt>
                <c:pt idx="363">
                  <c:v>359.92</c:v>
                </c:pt>
                <c:pt idx="364">
                  <c:v>357.64</c:v>
                </c:pt>
                <c:pt idx="365">
                  <c:v>344.43</c:v>
                </c:pt>
                <c:pt idx="366">
                  <c:v>343.31</c:v>
                </c:pt>
                <c:pt idx="367">
                  <c:v>341.70000000000005</c:v>
                </c:pt>
                <c:pt idx="368">
                  <c:v>337.38</c:v>
                </c:pt>
                <c:pt idx="369">
                  <c:v>332.09</c:v>
                </c:pt>
                <c:pt idx="370">
                  <c:v>331.06</c:v>
                </c:pt>
                <c:pt idx="371">
                  <c:v>330.98</c:v>
                </c:pt>
                <c:pt idx="372">
                  <c:v>322.5</c:v>
                </c:pt>
                <c:pt idx="373">
                  <c:v>320.92</c:v>
                </c:pt>
                <c:pt idx="374">
                  <c:v>317.25</c:v>
                </c:pt>
                <c:pt idx="375">
                  <c:v>314.38</c:v>
                </c:pt>
                <c:pt idx="376">
                  <c:v>314.05</c:v>
                </c:pt>
                <c:pt idx="377">
                  <c:v>312.55</c:v>
                </c:pt>
                <c:pt idx="378">
                  <c:v>310.93</c:v>
                </c:pt>
                <c:pt idx="379">
                  <c:v>309.88</c:v>
                </c:pt>
                <c:pt idx="380">
                  <c:v>309.85000000000002</c:v>
                </c:pt>
                <c:pt idx="381">
                  <c:v>302.7</c:v>
                </c:pt>
                <c:pt idx="382">
                  <c:v>299.35000000000002</c:v>
                </c:pt>
                <c:pt idx="383">
                  <c:v>298.06</c:v>
                </c:pt>
                <c:pt idx="384">
                  <c:v>297.75</c:v>
                </c:pt>
                <c:pt idx="385">
                  <c:v>296.44</c:v>
                </c:pt>
                <c:pt idx="386">
                  <c:v>289.32</c:v>
                </c:pt>
                <c:pt idx="387">
                  <c:v>287.45999999999998</c:v>
                </c:pt>
                <c:pt idx="388">
                  <c:v>287.25</c:v>
                </c:pt>
                <c:pt idx="389">
                  <c:v>284.64</c:v>
                </c:pt>
                <c:pt idx="390">
                  <c:v>280.25</c:v>
                </c:pt>
                <c:pt idx="391">
                  <c:v>279.14</c:v>
                </c:pt>
                <c:pt idx="392">
                  <c:v>278.66000000000003</c:v>
                </c:pt>
                <c:pt idx="393">
                  <c:v>277.04999999999995</c:v>
                </c:pt>
                <c:pt idx="394">
                  <c:v>275.21999999999997</c:v>
                </c:pt>
                <c:pt idx="395">
                  <c:v>273.19</c:v>
                </c:pt>
                <c:pt idx="396">
                  <c:v>269.64999999999998</c:v>
                </c:pt>
                <c:pt idx="397">
                  <c:v>268.56</c:v>
                </c:pt>
                <c:pt idx="398">
                  <c:v>267.10000000000002</c:v>
                </c:pt>
                <c:pt idx="399">
                  <c:v>265.38</c:v>
                </c:pt>
                <c:pt idx="400">
                  <c:v>264.39999999999998</c:v>
                </c:pt>
                <c:pt idx="401">
                  <c:v>263.95999999999998</c:v>
                </c:pt>
                <c:pt idx="402">
                  <c:v>258.95999999999998</c:v>
                </c:pt>
                <c:pt idx="403">
                  <c:v>257</c:v>
                </c:pt>
                <c:pt idx="404">
                  <c:v>252.68</c:v>
                </c:pt>
                <c:pt idx="405">
                  <c:v>249.57</c:v>
                </c:pt>
                <c:pt idx="406">
                  <c:v>247.64</c:v>
                </c:pt>
                <c:pt idx="407">
                  <c:v>245.89</c:v>
                </c:pt>
                <c:pt idx="408">
                  <c:v>241.9</c:v>
                </c:pt>
                <c:pt idx="409">
                  <c:v>237.18</c:v>
                </c:pt>
                <c:pt idx="410">
                  <c:v>234.37</c:v>
                </c:pt>
                <c:pt idx="411">
                  <c:v>223.3</c:v>
                </c:pt>
                <c:pt idx="412">
                  <c:v>220.77</c:v>
                </c:pt>
                <c:pt idx="413">
                  <c:v>217.56</c:v>
                </c:pt>
                <c:pt idx="414">
                  <c:v>214.08</c:v>
                </c:pt>
                <c:pt idx="415">
                  <c:v>211.14</c:v>
                </c:pt>
                <c:pt idx="416">
                  <c:v>208.95000000000002</c:v>
                </c:pt>
                <c:pt idx="417">
                  <c:v>206.82</c:v>
                </c:pt>
                <c:pt idx="418">
                  <c:v>201.58</c:v>
                </c:pt>
                <c:pt idx="419">
                  <c:v>194.44</c:v>
                </c:pt>
                <c:pt idx="420">
                  <c:v>185.82</c:v>
                </c:pt>
                <c:pt idx="421">
                  <c:v>179.22</c:v>
                </c:pt>
                <c:pt idx="422">
                  <c:v>176.58</c:v>
                </c:pt>
                <c:pt idx="423">
                  <c:v>176.28</c:v>
                </c:pt>
                <c:pt idx="424">
                  <c:v>176.1</c:v>
                </c:pt>
                <c:pt idx="425">
                  <c:v>167.6</c:v>
                </c:pt>
                <c:pt idx="426">
                  <c:v>167.15</c:v>
                </c:pt>
                <c:pt idx="427">
                  <c:v>165.03</c:v>
                </c:pt>
                <c:pt idx="428">
                  <c:v>162.77000000000001</c:v>
                </c:pt>
                <c:pt idx="429">
                  <c:v>161.54</c:v>
                </c:pt>
                <c:pt idx="430">
                  <c:v>159.80000000000001</c:v>
                </c:pt>
                <c:pt idx="431">
                  <c:v>155.27000000000001</c:v>
                </c:pt>
                <c:pt idx="432">
                  <c:v>153.47999999999999</c:v>
                </c:pt>
                <c:pt idx="433">
                  <c:v>150.16999999999999</c:v>
                </c:pt>
                <c:pt idx="434">
                  <c:v>147.42000000000002</c:v>
                </c:pt>
                <c:pt idx="435">
                  <c:v>140.68</c:v>
                </c:pt>
                <c:pt idx="436">
                  <c:v>139.36000000000001</c:v>
                </c:pt>
                <c:pt idx="437">
                  <c:v>137.62</c:v>
                </c:pt>
                <c:pt idx="438">
                  <c:v>132.68</c:v>
                </c:pt>
                <c:pt idx="439">
                  <c:v>130.13999999999999</c:v>
                </c:pt>
                <c:pt idx="440">
                  <c:v>127.55</c:v>
                </c:pt>
                <c:pt idx="441">
                  <c:v>121.96</c:v>
                </c:pt>
                <c:pt idx="442">
                  <c:v>118.8</c:v>
                </c:pt>
                <c:pt idx="443">
                  <c:v>114.14</c:v>
                </c:pt>
                <c:pt idx="444">
                  <c:v>109.29</c:v>
                </c:pt>
                <c:pt idx="445">
                  <c:v>108.82</c:v>
                </c:pt>
                <c:pt idx="446">
                  <c:v>101.16</c:v>
                </c:pt>
                <c:pt idx="447">
                  <c:v>99.24</c:v>
                </c:pt>
                <c:pt idx="448">
                  <c:v>98.16</c:v>
                </c:pt>
                <c:pt idx="449">
                  <c:v>92.79</c:v>
                </c:pt>
                <c:pt idx="450">
                  <c:v>86.3</c:v>
                </c:pt>
                <c:pt idx="451">
                  <c:v>84.8</c:v>
                </c:pt>
                <c:pt idx="452">
                  <c:v>75.78</c:v>
                </c:pt>
                <c:pt idx="453">
                  <c:v>75.010000000000005</c:v>
                </c:pt>
                <c:pt idx="454">
                  <c:v>65.45</c:v>
                </c:pt>
                <c:pt idx="455">
                  <c:v>64.66</c:v>
                </c:pt>
                <c:pt idx="456">
                  <c:v>59.19</c:v>
                </c:pt>
                <c:pt idx="457">
                  <c:v>58.76</c:v>
                </c:pt>
                <c:pt idx="458">
                  <c:v>48.4</c:v>
                </c:pt>
                <c:pt idx="459">
                  <c:v>46.66</c:v>
                </c:pt>
                <c:pt idx="460">
                  <c:v>44.35</c:v>
                </c:pt>
                <c:pt idx="461">
                  <c:v>21.19</c:v>
                </c:pt>
                <c:pt idx="462">
                  <c:v>17.239999999999998</c:v>
                </c:pt>
              </c:numCache>
            </c:numRef>
          </c:xVal>
          <c:yVal>
            <c:numRef>
              <c:f>'Cleaned Data'!$P$2:$P$465</c:f>
              <c:numCache>
                <c:formatCode>General</c:formatCode>
                <c:ptCount val="463"/>
                <c:pt idx="0">
                  <c:v>2903.3759999999997</c:v>
                </c:pt>
                <c:pt idx="1">
                  <c:v>2830.9679999999998</c:v>
                </c:pt>
                <c:pt idx="2">
                  <c:v>2800.56</c:v>
                </c:pt>
                <c:pt idx="3">
                  <c:v>2771.37</c:v>
                </c:pt>
                <c:pt idx="4">
                  <c:v>2753.31</c:v>
                </c:pt>
                <c:pt idx="5">
                  <c:v>2724.33</c:v>
                </c:pt>
                <c:pt idx="6">
                  <c:v>2704.3379999999997</c:v>
                </c:pt>
                <c:pt idx="7">
                  <c:v>2700.7259999999997</c:v>
                </c:pt>
                <c:pt idx="8">
                  <c:v>2662.8</c:v>
                </c:pt>
                <c:pt idx="9">
                  <c:v>2629.0740000000005</c:v>
                </c:pt>
                <c:pt idx="10">
                  <c:v>2601.9839999999999</c:v>
                </c:pt>
                <c:pt idx="11">
                  <c:v>2585.8139999999999</c:v>
                </c:pt>
                <c:pt idx="12">
                  <c:v>2583.42</c:v>
                </c:pt>
                <c:pt idx="13">
                  <c:v>2431.0860000000002</c:v>
                </c:pt>
                <c:pt idx="14">
                  <c:v>2396.6039999999998</c:v>
                </c:pt>
                <c:pt idx="15">
                  <c:v>2346.2460000000001</c:v>
                </c:pt>
                <c:pt idx="16">
                  <c:v>2232</c:v>
                </c:pt>
                <c:pt idx="17">
                  <c:v>2218.752</c:v>
                </c:pt>
                <c:pt idx="18">
                  <c:v>2315.3339999999998</c:v>
                </c:pt>
                <c:pt idx="19">
                  <c:v>2312.8559999999998</c:v>
                </c:pt>
                <c:pt idx="20">
                  <c:v>2192.6400000000003</c:v>
                </c:pt>
                <c:pt idx="21">
                  <c:v>2167.5839999999998</c:v>
                </c:pt>
                <c:pt idx="22">
                  <c:v>2254.2240000000002</c:v>
                </c:pt>
                <c:pt idx="23">
                  <c:v>2253.636</c:v>
                </c:pt>
                <c:pt idx="24">
                  <c:v>2121.4080000000004</c:v>
                </c:pt>
                <c:pt idx="25">
                  <c:v>2104.9279999999999</c:v>
                </c:pt>
                <c:pt idx="26">
                  <c:v>2096.576</c:v>
                </c:pt>
                <c:pt idx="27">
                  <c:v>2090.0160000000001</c:v>
                </c:pt>
                <c:pt idx="28">
                  <c:v>2087.9360000000001</c:v>
                </c:pt>
                <c:pt idx="29">
                  <c:v>2189.25</c:v>
                </c:pt>
                <c:pt idx="30">
                  <c:v>2161.3200000000002</c:v>
                </c:pt>
                <c:pt idx="31">
                  <c:v>2040.9279999999999</c:v>
                </c:pt>
                <c:pt idx="32">
                  <c:v>2140.2359999999999</c:v>
                </c:pt>
                <c:pt idx="33">
                  <c:v>2136.4979999999996</c:v>
                </c:pt>
                <c:pt idx="34">
                  <c:v>2127.09</c:v>
                </c:pt>
                <c:pt idx="35">
                  <c:v>2111.3819999999996</c:v>
                </c:pt>
                <c:pt idx="36">
                  <c:v>2009.9839999999999</c:v>
                </c:pt>
                <c:pt idx="37">
                  <c:v>2003.232</c:v>
                </c:pt>
                <c:pt idx="38">
                  <c:v>2093.616</c:v>
                </c:pt>
                <c:pt idx="39">
                  <c:v>2070.348</c:v>
                </c:pt>
                <c:pt idx="40">
                  <c:v>2069.5500000000002</c:v>
                </c:pt>
                <c:pt idx="41">
                  <c:v>1970.6560000000002</c:v>
                </c:pt>
                <c:pt idx="42">
                  <c:v>2055.3539999999998</c:v>
                </c:pt>
                <c:pt idx="43">
                  <c:v>1941.0240000000001</c:v>
                </c:pt>
                <c:pt idx="44">
                  <c:v>1922.5919999999999</c:v>
                </c:pt>
                <c:pt idx="45">
                  <c:v>1898.4639999999999</c:v>
                </c:pt>
                <c:pt idx="46">
                  <c:v>1886.6240000000003</c:v>
                </c:pt>
                <c:pt idx="47">
                  <c:v>1884.3200000000002</c:v>
                </c:pt>
                <c:pt idx="48">
                  <c:v>1967.7420000000002</c:v>
                </c:pt>
                <c:pt idx="49">
                  <c:v>1865.664</c:v>
                </c:pt>
                <c:pt idx="50">
                  <c:v>1850.4959999999999</c:v>
                </c:pt>
                <c:pt idx="51">
                  <c:v>1844.864</c:v>
                </c:pt>
                <c:pt idx="52">
                  <c:v>1915.4520000000002</c:v>
                </c:pt>
                <c:pt idx="53">
                  <c:v>1912.386</c:v>
                </c:pt>
                <c:pt idx="54">
                  <c:v>1808.64</c:v>
                </c:pt>
                <c:pt idx="55">
                  <c:v>1867.9920000000002</c:v>
                </c:pt>
                <c:pt idx="56">
                  <c:v>1775.4560000000001</c:v>
                </c:pt>
                <c:pt idx="57">
                  <c:v>1760.4479999999999</c:v>
                </c:pt>
                <c:pt idx="58">
                  <c:v>1759.232</c:v>
                </c:pt>
                <c:pt idx="59">
                  <c:v>1729.056</c:v>
                </c:pt>
                <c:pt idx="60">
                  <c:v>1813.098</c:v>
                </c:pt>
                <c:pt idx="61">
                  <c:v>1803.69</c:v>
                </c:pt>
                <c:pt idx="62">
                  <c:v>1710.336</c:v>
                </c:pt>
                <c:pt idx="63">
                  <c:v>1705.184</c:v>
                </c:pt>
                <c:pt idx="64">
                  <c:v>1780.5060000000001</c:v>
                </c:pt>
                <c:pt idx="65">
                  <c:v>1539.846</c:v>
                </c:pt>
                <c:pt idx="66">
                  <c:v>1757.8259999999996</c:v>
                </c:pt>
                <c:pt idx="67">
                  <c:v>1505.1080000000002</c:v>
                </c:pt>
                <c:pt idx="68">
                  <c:v>1640.8</c:v>
                </c:pt>
                <c:pt idx="69">
                  <c:v>1638.5919999999999</c:v>
                </c:pt>
                <c:pt idx="70">
                  <c:v>1716.6660000000002</c:v>
                </c:pt>
                <c:pt idx="71">
                  <c:v>1630.0160000000001</c:v>
                </c:pt>
                <c:pt idx="72">
                  <c:v>1619.5520000000001</c:v>
                </c:pt>
                <c:pt idx="73">
                  <c:v>1698.4379999999999</c:v>
                </c:pt>
                <c:pt idx="74">
                  <c:v>1609.568</c:v>
                </c:pt>
                <c:pt idx="75">
                  <c:v>1462.538</c:v>
                </c:pt>
                <c:pt idx="76">
                  <c:v>1456.1580000000001</c:v>
                </c:pt>
                <c:pt idx="77">
                  <c:v>1666.8120000000001</c:v>
                </c:pt>
                <c:pt idx="78">
                  <c:v>1583.4879999999998</c:v>
                </c:pt>
                <c:pt idx="79">
                  <c:v>1437.9859999999999</c:v>
                </c:pt>
                <c:pt idx="80">
                  <c:v>1634.7240000000002</c:v>
                </c:pt>
                <c:pt idx="81">
                  <c:v>1612.0439999999999</c:v>
                </c:pt>
                <c:pt idx="82">
                  <c:v>1399.1559999999999</c:v>
                </c:pt>
                <c:pt idx="83">
                  <c:v>1519.008</c:v>
                </c:pt>
                <c:pt idx="84">
                  <c:v>1504.288</c:v>
                </c:pt>
                <c:pt idx="85">
                  <c:v>1574.9580000000001</c:v>
                </c:pt>
                <c:pt idx="86">
                  <c:v>1573.2359999999999</c:v>
                </c:pt>
                <c:pt idx="87">
                  <c:v>1371.348</c:v>
                </c:pt>
                <c:pt idx="88">
                  <c:v>1362.2620000000002</c:v>
                </c:pt>
                <c:pt idx="89">
                  <c:v>1485.7280000000001</c:v>
                </c:pt>
                <c:pt idx="90">
                  <c:v>1351.1299999999999</c:v>
                </c:pt>
                <c:pt idx="91">
                  <c:v>1345.19</c:v>
                </c:pt>
                <c:pt idx="92">
                  <c:v>1529.9759999999999</c:v>
                </c:pt>
                <c:pt idx="93">
                  <c:v>1522.3319999999999</c:v>
                </c:pt>
                <c:pt idx="94">
                  <c:v>1324.9279999999999</c:v>
                </c:pt>
                <c:pt idx="95">
                  <c:v>1323.5200000000002</c:v>
                </c:pt>
                <c:pt idx="96">
                  <c:v>1442.4</c:v>
                </c:pt>
                <c:pt idx="97">
                  <c:v>1304.3140000000001</c:v>
                </c:pt>
                <c:pt idx="98">
                  <c:v>1422.2080000000001</c:v>
                </c:pt>
                <c:pt idx="99">
                  <c:v>1297.0319999999999</c:v>
                </c:pt>
                <c:pt idx="100">
                  <c:v>1293.71</c:v>
                </c:pt>
                <c:pt idx="101">
                  <c:v>1284.1840000000002</c:v>
                </c:pt>
                <c:pt idx="102">
                  <c:v>1461.2640000000001</c:v>
                </c:pt>
                <c:pt idx="103">
                  <c:v>1391.52</c:v>
                </c:pt>
                <c:pt idx="104">
                  <c:v>1390.144</c:v>
                </c:pt>
                <c:pt idx="105">
                  <c:v>1387.04</c:v>
                </c:pt>
                <c:pt idx="106">
                  <c:v>1379.232</c:v>
                </c:pt>
                <c:pt idx="107">
                  <c:v>1378.6559999999999</c:v>
                </c:pt>
                <c:pt idx="108">
                  <c:v>1436.232</c:v>
                </c:pt>
                <c:pt idx="109">
                  <c:v>1253.6479999999999</c:v>
                </c:pt>
                <c:pt idx="110">
                  <c:v>1435.7279999999998</c:v>
                </c:pt>
                <c:pt idx="111">
                  <c:v>1243.55</c:v>
                </c:pt>
                <c:pt idx="112">
                  <c:v>1416.9960000000001</c:v>
                </c:pt>
                <c:pt idx="113">
                  <c:v>1226.3020000000001</c:v>
                </c:pt>
                <c:pt idx="114">
                  <c:v>1219.3499999999999</c:v>
                </c:pt>
                <c:pt idx="115">
                  <c:v>1187.8020000000001</c:v>
                </c:pt>
                <c:pt idx="116">
                  <c:v>1186.8120000000001</c:v>
                </c:pt>
                <c:pt idx="117">
                  <c:v>1185.2280000000001</c:v>
                </c:pt>
                <c:pt idx="118">
                  <c:v>1280.2239999999999</c:v>
                </c:pt>
                <c:pt idx="119">
                  <c:v>1327.4939999999999</c:v>
                </c:pt>
                <c:pt idx="120">
                  <c:v>1319.934</c:v>
                </c:pt>
                <c:pt idx="121">
                  <c:v>1234.944</c:v>
                </c:pt>
                <c:pt idx="122">
                  <c:v>1293.5160000000001</c:v>
                </c:pt>
                <c:pt idx="123">
                  <c:v>1229.8240000000001</c:v>
                </c:pt>
                <c:pt idx="124">
                  <c:v>1225.2159999999999</c:v>
                </c:pt>
                <c:pt idx="125">
                  <c:v>1283.058</c:v>
                </c:pt>
                <c:pt idx="126">
                  <c:v>1117.864</c:v>
                </c:pt>
                <c:pt idx="127">
                  <c:v>1106.0940000000001</c:v>
                </c:pt>
                <c:pt idx="128">
                  <c:v>1102.8600000000001</c:v>
                </c:pt>
                <c:pt idx="129">
                  <c:v>1100.1759999999999</c:v>
                </c:pt>
                <c:pt idx="130">
                  <c:v>1098.2619999999999</c:v>
                </c:pt>
                <c:pt idx="131">
                  <c:v>1054.2619999999999</c:v>
                </c:pt>
                <c:pt idx="132">
                  <c:v>1053.0299999999997</c:v>
                </c:pt>
                <c:pt idx="133">
                  <c:v>1148</c:v>
                </c:pt>
                <c:pt idx="134">
                  <c:v>1032.5039999999999</c:v>
                </c:pt>
                <c:pt idx="135">
                  <c:v>1178.184</c:v>
                </c:pt>
                <c:pt idx="136">
                  <c:v>1023.1100000000001</c:v>
                </c:pt>
                <c:pt idx="137">
                  <c:v>1097.44</c:v>
                </c:pt>
                <c:pt idx="138">
                  <c:v>1145.634</c:v>
                </c:pt>
                <c:pt idx="139">
                  <c:v>817.27199999999993</c:v>
                </c:pt>
                <c:pt idx="140">
                  <c:v>817.02</c:v>
                </c:pt>
                <c:pt idx="141">
                  <c:v>975.56799999999998</c:v>
                </c:pt>
                <c:pt idx="142">
                  <c:v>795.03599999999994</c:v>
                </c:pt>
                <c:pt idx="143">
                  <c:v>1097.5859999999998</c:v>
                </c:pt>
                <c:pt idx="144">
                  <c:v>1095.9060000000002</c:v>
                </c:pt>
                <c:pt idx="145">
                  <c:v>955.79</c:v>
                </c:pt>
                <c:pt idx="146">
                  <c:v>1042.432</c:v>
                </c:pt>
                <c:pt idx="147">
                  <c:v>1094.2259999999999</c:v>
                </c:pt>
                <c:pt idx="148">
                  <c:v>953.32600000000002</c:v>
                </c:pt>
                <c:pt idx="149">
                  <c:v>946.13200000000006</c:v>
                </c:pt>
                <c:pt idx="150">
                  <c:v>1028.8319999999999</c:v>
                </c:pt>
                <c:pt idx="151">
                  <c:v>770.44799999999998</c:v>
                </c:pt>
                <c:pt idx="152">
                  <c:v>767.85599999999999</c:v>
                </c:pt>
                <c:pt idx="153">
                  <c:v>931.76599999999996</c:v>
                </c:pt>
                <c:pt idx="154">
                  <c:v>1045.1280000000002</c:v>
                </c:pt>
                <c:pt idx="155">
                  <c:v>991.7120000000001</c:v>
                </c:pt>
                <c:pt idx="156">
                  <c:v>907.56599999999992</c:v>
                </c:pt>
                <c:pt idx="157">
                  <c:v>903.93599999999992</c:v>
                </c:pt>
                <c:pt idx="158">
                  <c:v>980.32</c:v>
                </c:pt>
                <c:pt idx="159">
                  <c:v>890.53800000000012</c:v>
                </c:pt>
                <c:pt idx="160">
                  <c:v>966.56000000000006</c:v>
                </c:pt>
                <c:pt idx="161">
                  <c:v>720.68400000000008</c:v>
                </c:pt>
                <c:pt idx="162">
                  <c:v>875.97399999999993</c:v>
                </c:pt>
                <c:pt idx="163">
                  <c:v>932.32</c:v>
                </c:pt>
                <c:pt idx="164">
                  <c:v>973.64399999999989</c:v>
                </c:pt>
                <c:pt idx="165">
                  <c:v>690.99600000000009</c:v>
                </c:pt>
                <c:pt idx="166">
                  <c:v>839.10199999999998</c:v>
                </c:pt>
                <c:pt idx="167">
                  <c:v>908.12800000000004</c:v>
                </c:pt>
                <c:pt idx="168">
                  <c:v>676.58400000000006</c:v>
                </c:pt>
                <c:pt idx="169">
                  <c:v>675.67199999999991</c:v>
                </c:pt>
                <c:pt idx="170">
                  <c:v>940.8</c:v>
                </c:pt>
                <c:pt idx="171">
                  <c:v>930.34199999999998</c:v>
                </c:pt>
                <c:pt idx="172">
                  <c:v>881.6</c:v>
                </c:pt>
                <c:pt idx="173">
                  <c:v>880.89599999999996</c:v>
                </c:pt>
                <c:pt idx="174">
                  <c:v>874.4</c:v>
                </c:pt>
                <c:pt idx="175">
                  <c:v>795.05800000000011</c:v>
                </c:pt>
                <c:pt idx="176">
                  <c:v>641.60399999999993</c:v>
                </c:pt>
                <c:pt idx="177">
                  <c:v>640.57199999999989</c:v>
                </c:pt>
                <c:pt idx="178">
                  <c:v>639.62400000000002</c:v>
                </c:pt>
                <c:pt idx="179">
                  <c:v>847.32800000000009</c:v>
                </c:pt>
                <c:pt idx="180">
                  <c:v>844.57600000000002</c:v>
                </c:pt>
                <c:pt idx="181">
                  <c:v>843.58400000000006</c:v>
                </c:pt>
                <c:pt idx="182">
                  <c:v>841.88799999999992</c:v>
                </c:pt>
                <c:pt idx="183">
                  <c:v>840.06399999999996</c:v>
                </c:pt>
                <c:pt idx="184">
                  <c:v>625.67999999999995</c:v>
                </c:pt>
                <c:pt idx="185">
                  <c:v>621.87599999999998</c:v>
                </c:pt>
                <c:pt idx="186">
                  <c:v>757.67999999999984</c:v>
                </c:pt>
                <c:pt idx="187">
                  <c:v>615.17999999999995</c:v>
                </c:pt>
                <c:pt idx="188">
                  <c:v>750.53</c:v>
                </c:pt>
                <c:pt idx="189">
                  <c:v>818.75200000000007</c:v>
                </c:pt>
                <c:pt idx="190">
                  <c:v>740.76199999999994</c:v>
                </c:pt>
                <c:pt idx="191">
                  <c:v>845.12400000000002</c:v>
                </c:pt>
                <c:pt idx="192">
                  <c:v>600.96</c:v>
                </c:pt>
                <c:pt idx="193">
                  <c:v>600.34799999999996</c:v>
                </c:pt>
                <c:pt idx="194">
                  <c:v>595.94399999999996</c:v>
                </c:pt>
                <c:pt idx="195">
                  <c:v>592.65599999999995</c:v>
                </c:pt>
                <c:pt idx="196">
                  <c:v>592.35599999999999</c:v>
                </c:pt>
                <c:pt idx="197">
                  <c:v>787.55200000000002</c:v>
                </c:pt>
                <c:pt idx="198">
                  <c:v>586.64400000000001</c:v>
                </c:pt>
                <c:pt idx="199">
                  <c:v>582.44399999999996</c:v>
                </c:pt>
                <c:pt idx="200">
                  <c:v>570.93599999999992</c:v>
                </c:pt>
                <c:pt idx="201">
                  <c:v>798.33600000000001</c:v>
                </c:pt>
                <c:pt idx="202">
                  <c:v>782.37599999999998</c:v>
                </c:pt>
                <c:pt idx="203">
                  <c:v>558.21600000000001</c:v>
                </c:pt>
                <c:pt idx="204">
                  <c:v>558.17999999999995</c:v>
                </c:pt>
                <c:pt idx="205">
                  <c:v>680.28400000000011</c:v>
                </c:pt>
                <c:pt idx="206">
                  <c:v>677.62199999999996</c:v>
                </c:pt>
                <c:pt idx="207">
                  <c:v>553.64400000000001</c:v>
                </c:pt>
                <c:pt idx="208">
                  <c:v>553.35599999999999</c:v>
                </c:pt>
                <c:pt idx="209">
                  <c:v>669.12999999999988</c:v>
                </c:pt>
                <c:pt idx="210">
                  <c:v>719.2</c:v>
                </c:pt>
                <c:pt idx="211">
                  <c:v>538.62</c:v>
                </c:pt>
                <c:pt idx="212">
                  <c:v>710.27200000000005</c:v>
                </c:pt>
                <c:pt idx="213">
                  <c:v>531.86400000000003</c:v>
                </c:pt>
                <c:pt idx="214">
                  <c:v>698.976</c:v>
                </c:pt>
                <c:pt idx="215">
                  <c:v>730.63200000000006</c:v>
                </c:pt>
                <c:pt idx="216">
                  <c:v>521.16000000000008</c:v>
                </c:pt>
                <c:pt idx="217">
                  <c:v>694.81600000000003</c:v>
                </c:pt>
                <c:pt idx="218">
                  <c:v>729.32999999999993</c:v>
                </c:pt>
                <c:pt idx="219">
                  <c:v>686.52800000000002</c:v>
                </c:pt>
                <c:pt idx="220">
                  <c:v>685.92</c:v>
                </c:pt>
                <c:pt idx="221">
                  <c:v>512.04</c:v>
                </c:pt>
                <c:pt idx="222">
                  <c:v>510.03599999999994</c:v>
                </c:pt>
                <c:pt idx="223">
                  <c:v>509.18399999999997</c:v>
                </c:pt>
                <c:pt idx="224">
                  <c:v>501.91199999999998</c:v>
                </c:pt>
                <c:pt idx="225">
                  <c:v>611.6880000000001</c:v>
                </c:pt>
                <c:pt idx="226">
                  <c:v>493.78800000000001</c:v>
                </c:pt>
                <c:pt idx="227">
                  <c:v>602.71199999999988</c:v>
                </c:pt>
                <c:pt idx="228">
                  <c:v>588.38999999999987</c:v>
                </c:pt>
                <c:pt idx="229">
                  <c:v>479.18399999999997</c:v>
                </c:pt>
                <c:pt idx="230">
                  <c:v>478.84800000000001</c:v>
                </c:pt>
                <c:pt idx="231">
                  <c:v>473.16</c:v>
                </c:pt>
                <c:pt idx="232">
                  <c:v>471.99599999999998</c:v>
                </c:pt>
                <c:pt idx="233">
                  <c:v>462.19200000000001</c:v>
                </c:pt>
                <c:pt idx="234">
                  <c:v>564.21199999999988</c:v>
                </c:pt>
                <c:pt idx="235">
                  <c:v>460.96799999999996</c:v>
                </c:pt>
                <c:pt idx="236">
                  <c:v>556.71</c:v>
                </c:pt>
                <c:pt idx="237">
                  <c:v>628.11</c:v>
                </c:pt>
                <c:pt idx="238">
                  <c:v>447.80400000000003</c:v>
                </c:pt>
                <c:pt idx="239">
                  <c:v>543.64200000000005</c:v>
                </c:pt>
                <c:pt idx="240">
                  <c:v>582.65600000000006</c:v>
                </c:pt>
                <c:pt idx="241">
                  <c:v>436.69200000000001</c:v>
                </c:pt>
                <c:pt idx="242">
                  <c:v>520.29999999999995</c:v>
                </c:pt>
                <c:pt idx="243">
                  <c:v>561.15200000000004</c:v>
                </c:pt>
                <c:pt idx="244">
                  <c:v>138.68200000000002</c:v>
                </c:pt>
                <c:pt idx="245">
                  <c:v>414.012</c:v>
                </c:pt>
                <c:pt idx="246">
                  <c:v>412.82399999999996</c:v>
                </c:pt>
                <c:pt idx="247">
                  <c:v>410.53200000000004</c:v>
                </c:pt>
                <c:pt idx="248">
                  <c:v>495.24200000000002</c:v>
                </c:pt>
                <c:pt idx="249">
                  <c:v>134.57799999999997</c:v>
                </c:pt>
                <c:pt idx="250">
                  <c:v>134.10799999999995</c:v>
                </c:pt>
                <c:pt idx="251">
                  <c:v>400.596</c:v>
                </c:pt>
                <c:pt idx="252">
                  <c:v>558.64199999999994</c:v>
                </c:pt>
                <c:pt idx="253">
                  <c:v>132.88400000000001</c:v>
                </c:pt>
                <c:pt idx="254">
                  <c:v>396.82799999999997</c:v>
                </c:pt>
                <c:pt idx="255">
                  <c:v>131.41399999999999</c:v>
                </c:pt>
                <c:pt idx="256">
                  <c:v>131.01800000000003</c:v>
                </c:pt>
                <c:pt idx="257">
                  <c:v>130.85400000000004</c:v>
                </c:pt>
                <c:pt idx="258">
                  <c:v>541.59</c:v>
                </c:pt>
                <c:pt idx="259">
                  <c:v>512.70399999999995</c:v>
                </c:pt>
                <c:pt idx="260">
                  <c:v>383.89200000000005</c:v>
                </c:pt>
                <c:pt idx="261">
                  <c:v>534.15600000000006</c:v>
                </c:pt>
                <c:pt idx="262">
                  <c:v>381.32399999999996</c:v>
                </c:pt>
                <c:pt idx="263">
                  <c:v>126.988</c:v>
                </c:pt>
                <c:pt idx="264">
                  <c:v>126.88</c:v>
                </c:pt>
                <c:pt idx="265">
                  <c:v>125.84199999999998</c:v>
                </c:pt>
                <c:pt idx="266">
                  <c:v>125.43</c:v>
                </c:pt>
                <c:pt idx="267">
                  <c:v>525.08400000000006</c:v>
                </c:pt>
                <c:pt idx="268">
                  <c:v>125</c:v>
                </c:pt>
                <c:pt idx="269">
                  <c:v>374.29200000000003</c:v>
                </c:pt>
                <c:pt idx="270">
                  <c:v>124.04200000000003</c:v>
                </c:pt>
                <c:pt idx="271">
                  <c:v>123.22000000000003</c:v>
                </c:pt>
                <c:pt idx="272">
                  <c:v>489.88800000000003</c:v>
                </c:pt>
                <c:pt idx="273">
                  <c:v>443.27800000000002</c:v>
                </c:pt>
                <c:pt idx="274">
                  <c:v>442.66199999999998</c:v>
                </c:pt>
                <c:pt idx="275">
                  <c:v>120.108</c:v>
                </c:pt>
                <c:pt idx="276">
                  <c:v>119.108</c:v>
                </c:pt>
                <c:pt idx="277">
                  <c:v>357.25199999999995</c:v>
                </c:pt>
                <c:pt idx="278">
                  <c:v>118.99200000000002</c:v>
                </c:pt>
                <c:pt idx="279">
                  <c:v>118.17399999999998</c:v>
                </c:pt>
                <c:pt idx="280">
                  <c:v>117.28800000000001</c:v>
                </c:pt>
                <c:pt idx="281">
                  <c:v>116.77999999999997</c:v>
                </c:pt>
                <c:pt idx="282">
                  <c:v>116.63599999999997</c:v>
                </c:pt>
                <c:pt idx="283">
                  <c:v>116.40800000000002</c:v>
                </c:pt>
                <c:pt idx="284">
                  <c:v>425.87599999999998</c:v>
                </c:pt>
                <c:pt idx="285">
                  <c:v>464.16</c:v>
                </c:pt>
                <c:pt idx="286">
                  <c:v>114.42599999999999</c:v>
                </c:pt>
                <c:pt idx="287">
                  <c:v>456.25600000000003</c:v>
                </c:pt>
                <c:pt idx="288">
                  <c:v>112.97199999999998</c:v>
                </c:pt>
                <c:pt idx="289">
                  <c:v>112.52199999999999</c:v>
                </c:pt>
                <c:pt idx="290">
                  <c:v>111.654</c:v>
                </c:pt>
                <c:pt idx="291">
                  <c:v>407.88000000000005</c:v>
                </c:pt>
                <c:pt idx="292">
                  <c:v>110.71199999999999</c:v>
                </c:pt>
                <c:pt idx="293">
                  <c:v>405.83399999999995</c:v>
                </c:pt>
                <c:pt idx="294">
                  <c:v>328.11599999999999</c:v>
                </c:pt>
                <c:pt idx="295">
                  <c:v>109.238</c:v>
                </c:pt>
                <c:pt idx="296">
                  <c:v>323.79599999999999</c:v>
                </c:pt>
                <c:pt idx="297">
                  <c:v>451.41599999999994</c:v>
                </c:pt>
                <c:pt idx="298">
                  <c:v>320.33999999999997</c:v>
                </c:pt>
                <c:pt idx="299">
                  <c:v>106.34800000000001</c:v>
                </c:pt>
                <c:pt idx="300">
                  <c:v>106.23599999999999</c:v>
                </c:pt>
                <c:pt idx="301">
                  <c:v>105.61199999999997</c:v>
                </c:pt>
                <c:pt idx="302">
                  <c:v>105.51400000000001</c:v>
                </c:pt>
                <c:pt idx="303">
                  <c:v>105.08600000000001</c:v>
                </c:pt>
                <c:pt idx="304">
                  <c:v>104.81200000000001</c:v>
                </c:pt>
                <c:pt idx="305">
                  <c:v>103.678</c:v>
                </c:pt>
                <c:pt idx="306">
                  <c:v>304.488</c:v>
                </c:pt>
                <c:pt idx="307">
                  <c:v>301.17599999999999</c:v>
                </c:pt>
                <c:pt idx="308">
                  <c:v>295.03200000000004</c:v>
                </c:pt>
                <c:pt idx="309">
                  <c:v>391.04</c:v>
                </c:pt>
                <c:pt idx="310">
                  <c:v>289.78800000000001</c:v>
                </c:pt>
                <c:pt idx="311">
                  <c:v>285.89999999999998</c:v>
                </c:pt>
                <c:pt idx="312">
                  <c:v>398.37</c:v>
                </c:pt>
                <c:pt idx="313">
                  <c:v>94.791999999999973</c:v>
                </c:pt>
                <c:pt idx="314">
                  <c:v>94.548000000000002</c:v>
                </c:pt>
                <c:pt idx="315">
                  <c:v>283.596</c:v>
                </c:pt>
                <c:pt idx="316">
                  <c:v>376.03200000000004</c:v>
                </c:pt>
                <c:pt idx="317">
                  <c:v>340.20799999999997</c:v>
                </c:pt>
                <c:pt idx="318">
                  <c:v>370.464</c:v>
                </c:pt>
                <c:pt idx="319">
                  <c:v>277.14</c:v>
                </c:pt>
                <c:pt idx="320">
                  <c:v>385.01400000000001</c:v>
                </c:pt>
                <c:pt idx="321">
                  <c:v>381.654</c:v>
                </c:pt>
                <c:pt idx="322">
                  <c:v>90.54000000000002</c:v>
                </c:pt>
                <c:pt idx="323">
                  <c:v>269.24400000000003</c:v>
                </c:pt>
                <c:pt idx="324">
                  <c:v>356.15999999999997</c:v>
                </c:pt>
                <c:pt idx="325">
                  <c:v>324.25799999999998</c:v>
                </c:pt>
                <c:pt idx="326">
                  <c:v>322.80599999999993</c:v>
                </c:pt>
                <c:pt idx="327">
                  <c:v>262.91999999999996</c:v>
                </c:pt>
                <c:pt idx="328">
                  <c:v>87.353999999999985</c:v>
                </c:pt>
                <c:pt idx="329">
                  <c:v>86.288000000000011</c:v>
                </c:pt>
                <c:pt idx="330">
                  <c:v>343.96799999999996</c:v>
                </c:pt>
                <c:pt idx="331">
                  <c:v>85.564000000000021</c:v>
                </c:pt>
                <c:pt idx="332">
                  <c:v>85.411999999999978</c:v>
                </c:pt>
                <c:pt idx="333">
                  <c:v>357.92400000000004</c:v>
                </c:pt>
                <c:pt idx="334">
                  <c:v>254.184</c:v>
                </c:pt>
                <c:pt idx="335">
                  <c:v>84.68</c:v>
                </c:pt>
                <c:pt idx="336">
                  <c:v>353.346</c:v>
                </c:pt>
                <c:pt idx="337">
                  <c:v>84.052000000000021</c:v>
                </c:pt>
                <c:pt idx="338">
                  <c:v>251.928</c:v>
                </c:pt>
                <c:pt idx="339">
                  <c:v>83.672000000000025</c:v>
                </c:pt>
                <c:pt idx="340">
                  <c:v>83.420000000000016</c:v>
                </c:pt>
                <c:pt idx="341">
                  <c:v>82.267999999999972</c:v>
                </c:pt>
                <c:pt idx="342">
                  <c:v>82.156000000000006</c:v>
                </c:pt>
                <c:pt idx="343">
                  <c:v>82.12</c:v>
                </c:pt>
                <c:pt idx="344">
                  <c:v>299.94799999999998</c:v>
                </c:pt>
                <c:pt idx="345">
                  <c:v>343.14</c:v>
                </c:pt>
                <c:pt idx="346">
                  <c:v>81.244000000000028</c:v>
                </c:pt>
                <c:pt idx="347">
                  <c:v>294.91000000000003</c:v>
                </c:pt>
                <c:pt idx="348">
                  <c:v>79.995999999999981</c:v>
                </c:pt>
                <c:pt idx="349">
                  <c:v>291.45599999999996</c:v>
                </c:pt>
                <c:pt idx="350">
                  <c:v>78.906000000000006</c:v>
                </c:pt>
                <c:pt idx="351">
                  <c:v>287.34200000000004</c:v>
                </c:pt>
                <c:pt idx="352">
                  <c:v>77.665999999999997</c:v>
                </c:pt>
                <c:pt idx="353">
                  <c:v>76.322000000000003</c:v>
                </c:pt>
                <c:pt idx="354">
                  <c:v>76.204000000000008</c:v>
                </c:pt>
                <c:pt idx="355">
                  <c:v>304.096</c:v>
                </c:pt>
                <c:pt idx="356">
                  <c:v>318.40199999999999</c:v>
                </c:pt>
                <c:pt idx="357">
                  <c:v>75.351999999999975</c:v>
                </c:pt>
                <c:pt idx="358">
                  <c:v>74.170000000000016</c:v>
                </c:pt>
                <c:pt idx="359">
                  <c:v>268.642</c:v>
                </c:pt>
                <c:pt idx="360">
                  <c:v>292.67199999999997</c:v>
                </c:pt>
                <c:pt idx="361">
                  <c:v>218.88</c:v>
                </c:pt>
                <c:pt idx="362">
                  <c:v>216.6</c:v>
                </c:pt>
                <c:pt idx="363">
                  <c:v>215.952</c:v>
                </c:pt>
                <c:pt idx="364">
                  <c:v>286.11199999999997</c:v>
                </c:pt>
                <c:pt idx="365">
                  <c:v>252.58199999999999</c:v>
                </c:pt>
                <c:pt idx="366">
                  <c:v>68.661999999999978</c:v>
                </c:pt>
                <c:pt idx="367">
                  <c:v>287.02800000000002</c:v>
                </c:pt>
                <c:pt idx="368">
                  <c:v>247.41200000000001</c:v>
                </c:pt>
                <c:pt idx="369">
                  <c:v>66.418000000000006</c:v>
                </c:pt>
                <c:pt idx="370">
                  <c:v>66.211999999999989</c:v>
                </c:pt>
                <c:pt idx="371">
                  <c:v>198.58800000000002</c:v>
                </c:pt>
                <c:pt idx="372">
                  <c:v>270.89999999999998</c:v>
                </c:pt>
                <c:pt idx="373">
                  <c:v>64.184000000000026</c:v>
                </c:pt>
                <c:pt idx="374">
                  <c:v>63.449999999999989</c:v>
                </c:pt>
                <c:pt idx="375">
                  <c:v>62.876000000000005</c:v>
                </c:pt>
                <c:pt idx="376">
                  <c:v>263.80200000000002</c:v>
                </c:pt>
                <c:pt idx="377">
                  <c:v>262.54200000000003</c:v>
                </c:pt>
                <c:pt idx="378">
                  <c:v>62.186000000000007</c:v>
                </c:pt>
                <c:pt idx="379">
                  <c:v>247.904</c:v>
                </c:pt>
                <c:pt idx="380">
                  <c:v>260.274</c:v>
                </c:pt>
                <c:pt idx="381">
                  <c:v>181.62</c:v>
                </c:pt>
                <c:pt idx="382">
                  <c:v>59.870000000000005</c:v>
                </c:pt>
                <c:pt idx="383">
                  <c:v>59.611999999999995</c:v>
                </c:pt>
                <c:pt idx="384">
                  <c:v>250.11</c:v>
                </c:pt>
                <c:pt idx="385">
                  <c:v>177.864</c:v>
                </c:pt>
                <c:pt idx="386">
                  <c:v>173.59199999999998</c:v>
                </c:pt>
                <c:pt idx="387">
                  <c:v>57.49199999999999</c:v>
                </c:pt>
                <c:pt idx="388">
                  <c:v>241.29</c:v>
                </c:pt>
                <c:pt idx="389">
                  <c:v>208.73599999999999</c:v>
                </c:pt>
                <c:pt idx="390">
                  <c:v>56.050000000000011</c:v>
                </c:pt>
                <c:pt idx="391">
                  <c:v>167.48399999999998</c:v>
                </c:pt>
                <c:pt idx="392">
                  <c:v>55.731999999999999</c:v>
                </c:pt>
                <c:pt idx="393">
                  <c:v>232.72199999999995</c:v>
                </c:pt>
                <c:pt idx="394">
                  <c:v>201.82799999999997</c:v>
                </c:pt>
                <c:pt idx="395">
                  <c:v>54.638000000000005</c:v>
                </c:pt>
                <c:pt idx="396">
                  <c:v>226.50599999999997</c:v>
                </c:pt>
                <c:pt idx="397">
                  <c:v>161.136</c:v>
                </c:pt>
                <c:pt idx="398">
                  <c:v>160.26000000000002</c:v>
                </c:pt>
                <c:pt idx="399">
                  <c:v>53.075999999999993</c:v>
                </c:pt>
                <c:pt idx="400">
                  <c:v>211.51999999999998</c:v>
                </c:pt>
                <c:pt idx="401">
                  <c:v>52.792000000000002</c:v>
                </c:pt>
                <c:pt idx="402">
                  <c:v>207.16799999999998</c:v>
                </c:pt>
                <c:pt idx="403">
                  <c:v>51.400000000000006</c:v>
                </c:pt>
                <c:pt idx="404">
                  <c:v>50.536000000000001</c:v>
                </c:pt>
                <c:pt idx="405">
                  <c:v>49.913999999999987</c:v>
                </c:pt>
                <c:pt idx="406">
                  <c:v>198.11199999999999</c:v>
                </c:pt>
                <c:pt idx="407">
                  <c:v>49.177999999999997</c:v>
                </c:pt>
                <c:pt idx="408">
                  <c:v>203.196</c:v>
                </c:pt>
                <c:pt idx="409">
                  <c:v>142.30799999999999</c:v>
                </c:pt>
                <c:pt idx="410">
                  <c:v>46.873999999999995</c:v>
                </c:pt>
                <c:pt idx="411">
                  <c:v>44.66</c:v>
                </c:pt>
                <c:pt idx="412">
                  <c:v>44.153999999999996</c:v>
                </c:pt>
                <c:pt idx="413">
                  <c:v>43.512</c:v>
                </c:pt>
                <c:pt idx="414">
                  <c:v>42.816000000000003</c:v>
                </c:pt>
                <c:pt idx="415">
                  <c:v>126.684</c:v>
                </c:pt>
                <c:pt idx="416">
                  <c:v>153.23000000000002</c:v>
                </c:pt>
                <c:pt idx="417">
                  <c:v>124.092</c:v>
                </c:pt>
                <c:pt idx="418">
                  <c:v>40.316000000000003</c:v>
                </c:pt>
                <c:pt idx="419">
                  <c:v>155.55199999999999</c:v>
                </c:pt>
                <c:pt idx="420">
                  <c:v>111.49199999999999</c:v>
                </c:pt>
                <c:pt idx="421">
                  <c:v>35.843999999999994</c:v>
                </c:pt>
                <c:pt idx="422">
                  <c:v>35.316000000000003</c:v>
                </c:pt>
                <c:pt idx="423">
                  <c:v>141.024</c:v>
                </c:pt>
                <c:pt idx="424">
                  <c:v>35.22</c:v>
                </c:pt>
                <c:pt idx="425">
                  <c:v>134.07999999999998</c:v>
                </c:pt>
                <c:pt idx="426">
                  <c:v>33.430000000000007</c:v>
                </c:pt>
                <c:pt idx="427">
                  <c:v>121.02200000000001</c:v>
                </c:pt>
                <c:pt idx="428">
                  <c:v>32.554000000000002</c:v>
                </c:pt>
                <c:pt idx="429">
                  <c:v>96.923999999999992</c:v>
                </c:pt>
                <c:pt idx="430">
                  <c:v>134.232</c:v>
                </c:pt>
                <c:pt idx="431">
                  <c:v>31.054000000000002</c:v>
                </c:pt>
                <c:pt idx="432">
                  <c:v>92.087999999999994</c:v>
                </c:pt>
                <c:pt idx="433">
                  <c:v>30.033999999999992</c:v>
                </c:pt>
                <c:pt idx="434">
                  <c:v>108.10800000000002</c:v>
                </c:pt>
                <c:pt idx="435">
                  <c:v>84.408000000000001</c:v>
                </c:pt>
                <c:pt idx="436">
                  <c:v>111.48800000000001</c:v>
                </c:pt>
                <c:pt idx="437">
                  <c:v>82.572000000000003</c:v>
                </c:pt>
                <c:pt idx="438">
                  <c:v>26.536000000000001</c:v>
                </c:pt>
                <c:pt idx="439">
                  <c:v>78.083999999999989</c:v>
                </c:pt>
                <c:pt idx="440">
                  <c:v>25.510000000000005</c:v>
                </c:pt>
                <c:pt idx="441">
                  <c:v>24.391999999999996</c:v>
                </c:pt>
                <c:pt idx="442">
                  <c:v>23.760000000000005</c:v>
                </c:pt>
                <c:pt idx="443">
                  <c:v>68.484000000000009</c:v>
                </c:pt>
                <c:pt idx="444">
                  <c:v>21.858000000000004</c:v>
                </c:pt>
                <c:pt idx="445">
                  <c:v>65.292000000000002</c:v>
                </c:pt>
                <c:pt idx="446">
                  <c:v>80.927999999999997</c:v>
                </c:pt>
                <c:pt idx="447">
                  <c:v>59.543999999999997</c:v>
                </c:pt>
                <c:pt idx="448">
                  <c:v>58.896000000000001</c:v>
                </c:pt>
                <c:pt idx="449">
                  <c:v>18.558000000000007</c:v>
                </c:pt>
                <c:pt idx="450">
                  <c:v>51.78</c:v>
                </c:pt>
                <c:pt idx="451">
                  <c:v>16.959999999999994</c:v>
                </c:pt>
                <c:pt idx="452">
                  <c:v>15.155999999999999</c:v>
                </c:pt>
                <c:pt idx="453">
                  <c:v>15.002000000000002</c:v>
                </c:pt>
                <c:pt idx="454">
                  <c:v>13.090000000000003</c:v>
                </c:pt>
                <c:pt idx="455">
                  <c:v>12.932000000000002</c:v>
                </c:pt>
                <c:pt idx="456">
                  <c:v>43.405999999999999</c:v>
                </c:pt>
                <c:pt idx="457">
                  <c:v>47.007999999999996</c:v>
                </c:pt>
                <c:pt idx="458">
                  <c:v>38.72</c:v>
                </c:pt>
                <c:pt idx="459">
                  <c:v>9.3320000000000007</c:v>
                </c:pt>
                <c:pt idx="460">
                  <c:v>8.8699999999999974</c:v>
                </c:pt>
                <c:pt idx="461">
                  <c:v>4.2379999999999995</c:v>
                </c:pt>
                <c:pt idx="462">
                  <c:v>3.4480000000000004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7-4D65-BB78-AE47255C4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907999"/>
        <c:axId val="483910495"/>
      </c:scatterChart>
      <c:valAx>
        <c:axId val="48390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10495"/>
        <c:crosses val="autoZero"/>
        <c:crossBetween val="midCat"/>
      </c:valAx>
      <c:valAx>
        <c:axId val="48391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0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2EE166-E2B4-4C3F-B569-1EACD2ED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A279-36A1-4273-BCCC-ECB5393F7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2FFFC-19F8-4431-8C95-D8D437A83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B81867-2426-466A-933A-3206431F3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her E. Udoh" refreshedDate="46181.282612499999" createdVersion="7" refreshedVersion="7" minRefreshableVersion="3" recordCount="463" xr:uid="{8F6718A4-2F11-43E3-B8EF-D857027D953C}">
  <cacheSource type="worksheet">
    <worksheetSource name="Main5"/>
  </cacheSource>
  <cacheFields count="17">
    <cacheField name="Order ID" numFmtId="0">
      <sharedItems/>
    </cacheField>
    <cacheField name="Date" numFmtId="0">
      <sharedItems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/>
    </cacheField>
    <cacheField name="Unit Price" numFmtId="0">
      <sharedItems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0">
      <sharedItems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0">
      <sharedItems containsSemiMixedTypes="0" containsString="0" containsNumber="1" minValue="17.239999999999998" maxValue="3456.3999999999996"/>
    </cacheField>
    <cacheField name="Cost Price" numFmtId="0">
      <sharedItems containsSemiMixedTypes="0" containsString="0" containsNumber="1" minValue="9.68" maxValue="559.94399999999996"/>
    </cacheField>
    <cacheField name="Profit" numFmtId="0">
      <sharedItems containsSemiMixedTypes="0" containsString="0" containsNumber="1" minValue="3.4480000000000004" maxValue="2903.3759999999997"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s v="ORD200000"/>
    <s v="04/01/2023"/>
    <s v="C72649"/>
    <x v="0"/>
    <s v="5"/>
    <s v="570.62"/>
    <s v="928 Main St"/>
    <s v="Debit Card"/>
    <s v="Shipped"/>
    <s v="TRK37947903"/>
    <s v="7"/>
    <s v="Save10"/>
    <x v="0"/>
    <n v="2853.1"/>
    <n v="456.49599999999998"/>
    <n v="2396.6039999999998"/>
    <x v="0"/>
  </r>
  <r>
    <s v="ORD200001"/>
    <s v="23/08/2024"/>
    <s v="C75739"/>
    <x v="1"/>
    <s v="2"/>
    <s v="151.35"/>
    <s v="823 Main St"/>
    <s v="Online"/>
    <s v="Shipped"/>
    <s v="TRK91186779"/>
    <s v="3"/>
    <s v="Save10"/>
    <x v="1"/>
    <n v="302.7"/>
    <n v="121.08"/>
    <n v="181.62"/>
    <x v="1"/>
  </r>
  <r>
    <s v="ORD200002"/>
    <s v="27/02/2024"/>
    <s v="C81728"/>
    <x v="2"/>
    <s v="5"/>
    <s v="550.68"/>
    <s v="512 Main St"/>
    <s v="Credit Card"/>
    <s v="Cancelled"/>
    <s v="TRK42903982"/>
    <s v="8"/>
    <s v="Freeship"/>
    <x v="2"/>
    <n v="2753.3999999999996"/>
    <n v="440.54399999999998"/>
    <n v="2312.8559999999998"/>
    <x v="2"/>
  </r>
  <r>
    <s v="ORD200003"/>
    <s v="15/10/2023"/>
    <s v="C33540"/>
    <x v="3"/>
    <s v="1"/>
    <s v="273.19"/>
    <s v="275 Main St"/>
    <s v="Debit Card"/>
    <s v="Returned"/>
    <s v="TRK62788070"/>
    <s v="5"/>
    <s v="Save10"/>
    <x v="3"/>
    <n v="273.19"/>
    <n v="218.55199999999999"/>
    <n v="54.638000000000005"/>
    <x v="3"/>
  </r>
  <r>
    <s v="ORD200004"/>
    <s v="08/05/2025"/>
    <s v="C81840"/>
    <x v="4"/>
    <s v="4"/>
    <s v="626.01"/>
    <s v="668 Main St"/>
    <s v="Online"/>
    <s v="Delivered"/>
    <s v="TRK29241424"/>
    <s v="8"/>
    <s v="Save10"/>
    <x v="2"/>
    <n v="2504.04"/>
    <n v="500.80799999999999"/>
    <n v="2003.232"/>
    <x v="4"/>
  </r>
  <r>
    <s v="ORD200005"/>
    <s v="23/10/2023"/>
    <s v="C37249"/>
    <x v="1"/>
    <s v="2"/>
    <s v="245.86"/>
    <s v="934 Main St"/>
    <s v="Credit Card"/>
    <s v="Shipped"/>
    <s v="TRK72976927"/>
    <s v="4"/>
    <s v="Save10"/>
    <x v="0"/>
    <n v="491.72"/>
    <n v="196.68800000000002"/>
    <n v="295.03200000000004"/>
    <x v="3"/>
  </r>
  <r>
    <s v="ORD200006"/>
    <s v="17/06/2025"/>
    <s v="C83492"/>
    <x v="5"/>
    <s v="1"/>
    <s v="664.42"/>
    <s v="986 Main St"/>
    <s v="Gift Card"/>
    <s v="Returned"/>
    <s v="TRK96417362"/>
    <s v="6"/>
    <s v="Save10"/>
    <x v="3"/>
    <n v="664.42"/>
    <n v="531.53599999999994"/>
    <n v="132.88400000000001"/>
    <x v="5"/>
  </r>
  <r>
    <s v="ORD200007"/>
    <s v="12/05/2023"/>
    <s v="C41460"/>
    <x v="0"/>
    <s v="5"/>
    <s v="149.55"/>
    <s v="706 Main St"/>
    <s v="Cash"/>
    <s v="Shipped"/>
    <s v="TRK78809193"/>
    <s v="9"/>
    <s v="Freeship"/>
    <x v="3"/>
    <n v="747.75"/>
    <n v="119.64000000000001"/>
    <n v="628.11"/>
    <x v="4"/>
  </r>
  <r>
    <s v="ORD200008"/>
    <s v="02/04/2025"/>
    <s v="C26817"/>
    <x v="1"/>
    <s v="2"/>
    <s v="134.28"/>
    <s v="904 Main St"/>
    <s v="Gift Card"/>
    <s v="Cancelled"/>
    <s v="TRK61042692"/>
    <s v="2"/>
    <s v="No Coupon"/>
    <x v="2"/>
    <n v="268.56"/>
    <n v="107.42400000000001"/>
    <n v="161.136"/>
    <x v="6"/>
  </r>
  <r>
    <s v="ORD200009"/>
    <s v="21/11/2023"/>
    <s v="C31946"/>
    <x v="6"/>
    <s v="4"/>
    <s v="509.38"/>
    <s v="102 Main St"/>
    <s v="Credit Card"/>
    <s v="Shipped"/>
    <s v="TRK33478363"/>
    <s v="6"/>
    <s v="Save10"/>
    <x v="4"/>
    <n v="2037.52"/>
    <n v="407.50400000000002"/>
    <n v="1630.0160000000001"/>
    <x v="7"/>
  </r>
  <r>
    <s v="ORD200010"/>
    <s v="29/12/2023"/>
    <s v="C43443"/>
    <x v="2"/>
    <s v="5"/>
    <s v="625.97"/>
    <s v="333 Main St"/>
    <s v="Credit Card"/>
    <s v="Returned"/>
    <s v="TRK98859248"/>
    <s v="9"/>
    <s v="Winter15"/>
    <x v="0"/>
    <n v="3129.8500000000004"/>
    <n v="500.77600000000001"/>
    <n v="2629.0740000000005"/>
    <x v="8"/>
  </r>
  <r>
    <s v="ORD200011"/>
    <s v="17/02/2024"/>
    <s v="C93861"/>
    <x v="0"/>
    <s v="3"/>
    <s v="49.14"/>
    <s v="831 Main St"/>
    <s v="Online"/>
    <s v="Returned"/>
    <s v="TRK48234646"/>
    <s v="7"/>
    <s v="Save10"/>
    <x v="2"/>
    <n v="147.42000000000002"/>
    <n v="39.311999999999998"/>
    <n v="108.10800000000002"/>
    <x v="2"/>
  </r>
  <r>
    <s v="ORD200012"/>
    <s v="15/10/2024"/>
    <s v="C38785"/>
    <x v="0"/>
    <s v="2"/>
    <s v="180.5"/>
    <s v="179 Main St"/>
    <s v="Debit Card"/>
    <s v="Pending"/>
    <s v="TRK20419991"/>
    <s v="6"/>
    <s v="Freeship"/>
    <x v="1"/>
    <n v="361"/>
    <n v="144.4"/>
    <n v="216.6"/>
    <x v="3"/>
  </r>
  <r>
    <s v="ORD200013"/>
    <s v="30/08/2023"/>
    <s v="C88348"/>
    <x v="5"/>
    <s v="3"/>
    <s v="201.49"/>
    <s v="903 Main St"/>
    <s v="Credit Card"/>
    <s v="Returned"/>
    <s v="TRK81913874"/>
    <s v="4"/>
    <s v="Freeship"/>
    <x v="3"/>
    <n v="604.47"/>
    <n v="161.19200000000001"/>
    <n v="443.27800000000002"/>
    <x v="1"/>
  </r>
  <r>
    <s v="ORD200014"/>
    <s v="27/03/2023"/>
    <s v="C98474"/>
    <x v="2"/>
    <s v="2"/>
    <s v="393.33"/>
    <s v="980 Main St"/>
    <s v="Debit Card"/>
    <s v="Pending"/>
    <s v="TRK79186539"/>
    <s v="3"/>
    <s v="Save10"/>
    <x v="0"/>
    <n v="786.66"/>
    <n v="314.66399999999999"/>
    <n v="471.99599999999998"/>
    <x v="9"/>
  </r>
  <r>
    <s v="ORD200015"/>
    <s v="17/07/2023"/>
    <s v="C39416"/>
    <x v="4"/>
    <s v="1"/>
    <s v="473.96"/>
    <s v="942 Main St"/>
    <s v="Cash"/>
    <s v="Delivered"/>
    <s v="TRK54930938"/>
    <s v="3"/>
    <s v="No Coupon"/>
    <x v="4"/>
    <n v="473.96"/>
    <n v="379.16800000000001"/>
    <n v="94.791999999999973"/>
    <x v="10"/>
  </r>
  <r>
    <s v="ORD200016"/>
    <s v="24/01/2023"/>
    <s v="C28976"/>
    <x v="4"/>
    <s v="2"/>
    <s v="533.81"/>
    <s v="914 Main St"/>
    <s v="Credit Card"/>
    <s v="Pending"/>
    <s v="TRK13194259"/>
    <s v="3"/>
    <s v="Freeship"/>
    <x v="2"/>
    <n v="1067.6199999999999"/>
    <n v="427.04799999999994"/>
    <n v="640.57199999999989"/>
    <x v="0"/>
  </r>
  <r>
    <s v="ORD200017"/>
    <s v="02/03/2024"/>
    <s v="C60672"/>
    <x v="2"/>
    <s v="1"/>
    <s v="423.4"/>
    <s v="382 Main St"/>
    <s v="Debit Card"/>
    <s v="Shipped"/>
    <s v="TRK11972116"/>
    <s v="3"/>
    <s v="No Coupon"/>
    <x v="1"/>
    <n v="423.4"/>
    <n v="338.71999999999997"/>
    <n v="84.68"/>
    <x v="9"/>
  </r>
  <r>
    <s v="ORD200018"/>
    <s v="26/03/2025"/>
    <s v="C84329"/>
    <x v="6"/>
    <s v="1"/>
    <s v="431.44"/>
    <s v="891 Main St"/>
    <s v="Gift Card"/>
    <s v="Pending"/>
    <s v="TRK65191045"/>
    <s v="3"/>
    <s v="Save10"/>
    <x v="3"/>
    <n v="431.44"/>
    <n v="345.15199999999999"/>
    <n v="86.288000000000011"/>
    <x v="9"/>
  </r>
  <r>
    <s v="ORD200019"/>
    <s v="23/01/2023"/>
    <s v="C14552"/>
    <x v="0"/>
    <s v="5"/>
    <s v="224"/>
    <s v="273 Main St"/>
    <s v="Cash"/>
    <s v="Returned"/>
    <s v="TRK59101365"/>
    <s v="9"/>
    <s v="Save10"/>
    <x v="4"/>
    <n v="1120"/>
    <n v="179.2"/>
    <n v="940.8"/>
    <x v="0"/>
  </r>
  <r>
    <s v="ORD200020"/>
    <s v="08/05/2023"/>
    <s v="C54829"/>
    <x v="3"/>
    <s v="5"/>
    <s v="62.51"/>
    <s v="587 Main St"/>
    <s v="Cash"/>
    <s v="Pending"/>
    <s v="TRK16718651"/>
    <s v="9"/>
    <s v="Winter15"/>
    <x v="0"/>
    <n v="312.55"/>
    <n v="50.007999999999996"/>
    <n v="262.54200000000003"/>
    <x v="4"/>
  </r>
  <r>
    <s v="ORD200021"/>
    <s v="17/11/2024"/>
    <s v="C99023"/>
    <x v="0"/>
    <s v="4"/>
    <s v="342.95"/>
    <s v="569 Main St"/>
    <s v="Cash"/>
    <s v="Delivered"/>
    <s v="TRK52646983"/>
    <s v="6"/>
    <s v="No Coupon"/>
    <x v="4"/>
    <n v="1371.8"/>
    <n v="274.36"/>
    <n v="1097.44"/>
    <x v="7"/>
  </r>
  <r>
    <s v="ORD200022"/>
    <s v="29/01/2023"/>
    <s v="C34416"/>
    <x v="0"/>
    <s v="2"/>
    <s v="49.62"/>
    <s v="633 Main St"/>
    <s v="Online"/>
    <s v="Pending"/>
    <s v="TRK75937350"/>
    <s v="2"/>
    <s v="Save10"/>
    <x v="4"/>
    <n v="99.24"/>
    <n v="39.695999999999998"/>
    <n v="59.543999999999997"/>
    <x v="0"/>
  </r>
  <r>
    <s v="ORD200023"/>
    <s v="09/04/2025"/>
    <s v="C42372"/>
    <x v="1"/>
    <s v="4"/>
    <s v="273.25"/>
    <s v="755 Main St"/>
    <s v="Debit Card"/>
    <s v="Cancelled"/>
    <s v="TRK36168083"/>
    <s v="5"/>
    <s v="Freeship"/>
    <x v="1"/>
    <n v="1093"/>
    <n v="218.6"/>
    <n v="874.4"/>
    <x v="6"/>
  </r>
  <r>
    <s v="ORD200024"/>
    <s v="30/10/2024"/>
    <s v="C17470"/>
    <x v="5"/>
    <s v="2"/>
    <s v="230.95"/>
    <s v="956 Main St"/>
    <s v="Online"/>
    <s v="Delivered"/>
    <s v="TRK28775057"/>
    <s v="3"/>
    <s v="Winter15"/>
    <x v="1"/>
    <n v="461.9"/>
    <n v="184.76"/>
    <n v="277.14"/>
    <x v="3"/>
  </r>
  <r>
    <s v="ORD200025"/>
    <s v="24/07/2024"/>
    <s v="C42577"/>
    <x v="0"/>
    <s v="1"/>
    <s v="399.98"/>
    <s v="709 Main St"/>
    <s v="Debit Card"/>
    <s v="Delivered"/>
    <s v="TRK69423327"/>
    <s v="3"/>
    <s v="Winter15"/>
    <x v="2"/>
    <n v="399.98"/>
    <n v="319.98400000000004"/>
    <n v="79.995999999999981"/>
    <x v="10"/>
  </r>
  <r>
    <s v="ORD200026"/>
    <s v="06/03/2024"/>
    <s v="C21944"/>
    <x v="5"/>
    <s v="5"/>
    <s v="59.55"/>
    <s v="296 Main St"/>
    <s v="Online"/>
    <s v="Delivered"/>
    <s v="TRK80276812"/>
    <s v="6"/>
    <s v="No Coupon"/>
    <x v="1"/>
    <n v="297.75"/>
    <n v="47.64"/>
    <n v="250.11"/>
    <x v="9"/>
  </r>
  <r>
    <s v="ORD200027"/>
    <s v="22/02/2024"/>
    <s v="C97593"/>
    <x v="4"/>
    <s v="1"/>
    <s v="472.74"/>
    <s v="881 Main St"/>
    <s v="Online"/>
    <s v="Shipped"/>
    <s v="TRK89117573"/>
    <s v="6"/>
    <s v="Winter15"/>
    <x v="4"/>
    <n v="472.74"/>
    <n v="378.19200000000001"/>
    <n v="94.548000000000002"/>
    <x v="2"/>
  </r>
  <r>
    <s v="ORD200029"/>
    <s v="20/09/2024"/>
    <s v="C33260"/>
    <x v="6"/>
    <s v="3"/>
    <s v="423.53"/>
    <s v="930 Main St"/>
    <s v="Credit Card"/>
    <s v="Delivered"/>
    <s v="TRK59744090"/>
    <s v="6"/>
    <s v="Save10"/>
    <x v="1"/>
    <n v="1270.5899999999999"/>
    <n v="338.82399999999996"/>
    <n v="931.76599999999996"/>
    <x v="11"/>
  </r>
  <r>
    <s v="ORD200030"/>
    <s v="22/03/2025"/>
    <s v="C44267"/>
    <x v="0"/>
    <s v="2"/>
    <s v="426.7"/>
    <s v="895 Main St"/>
    <s v="Online"/>
    <s v="Pending"/>
    <s v="TRK54751444"/>
    <s v="5"/>
    <s v="Save10"/>
    <x v="1"/>
    <n v="853.4"/>
    <n v="341.36"/>
    <n v="512.04"/>
    <x v="9"/>
  </r>
  <r>
    <s v="ORD200031"/>
    <s v="30/06/2023"/>
    <s v="C26445"/>
    <x v="3"/>
    <s v="3"/>
    <s v="500.08"/>
    <s v="996 Main St"/>
    <s v="Debit Card"/>
    <s v="Returned"/>
    <s v="TRK31229981"/>
    <s v="6"/>
    <s v="No Coupon"/>
    <x v="3"/>
    <n v="1500.24"/>
    <n v="400.06399999999996"/>
    <n v="1100.1759999999999"/>
    <x v="5"/>
  </r>
  <r>
    <s v="ORD200032"/>
    <s v="01/05/2023"/>
    <s v="C12388"/>
    <x v="2"/>
    <s v="5"/>
    <s v="536.72"/>
    <s v="830 Main St"/>
    <s v="Cash"/>
    <s v="Delivered"/>
    <s v="TRK99261395"/>
    <s v="10"/>
    <s v="No Coupon"/>
    <x v="2"/>
    <n v="2683.6000000000004"/>
    <n v="429.37600000000003"/>
    <n v="2254.2240000000002"/>
    <x v="4"/>
  </r>
  <r>
    <s v="ORD200033"/>
    <s v="05/06/2023"/>
    <s v="C52184"/>
    <x v="3"/>
    <s v="1"/>
    <s v="162.77"/>
    <s v="912 Main St"/>
    <s v="Online"/>
    <s v="Cancelled"/>
    <s v="TRK73312471"/>
    <s v="4"/>
    <s v="Winter15"/>
    <x v="3"/>
    <n v="162.77000000000001"/>
    <n v="130.21600000000001"/>
    <n v="32.554000000000002"/>
    <x v="5"/>
  </r>
  <r>
    <s v="ORD200034"/>
    <s v="07/01/2023"/>
    <s v="C67195"/>
    <x v="3"/>
    <s v="4"/>
    <s v="576.52"/>
    <s v="926 Main St"/>
    <s v="Credit Card"/>
    <s v="Pending"/>
    <s v="TRK55467915"/>
    <s v="5"/>
    <s v="Winter15"/>
    <x v="3"/>
    <n v="2306.08"/>
    <n v="461.21600000000001"/>
    <n v="1844.864"/>
    <x v="0"/>
  </r>
  <r>
    <s v="ORD200035"/>
    <s v="07/12/2024"/>
    <s v="C50304"/>
    <x v="0"/>
    <s v="2"/>
    <s v="465.15"/>
    <s v="128 Main St"/>
    <s v="Online"/>
    <s v="Shipped"/>
    <s v="TRK46850888"/>
    <s v="2"/>
    <s v="Save10"/>
    <x v="3"/>
    <n v="930.3"/>
    <n v="372.12"/>
    <n v="558.17999999999995"/>
    <x v="8"/>
  </r>
  <r>
    <s v="ORD200037"/>
    <s v="14/10/2024"/>
    <s v="C10054"/>
    <x v="5"/>
    <s v="2"/>
    <s v="76.74"/>
    <s v="409 Main St"/>
    <s v="Cash"/>
    <s v="Returned"/>
    <s v="TRK94005261"/>
    <s v="7"/>
    <s v="Save10"/>
    <x v="0"/>
    <n v="153.47999999999999"/>
    <n v="61.391999999999996"/>
    <n v="92.087999999999994"/>
    <x v="3"/>
  </r>
  <r>
    <s v="ORD200038"/>
    <s v="19/12/2024"/>
    <s v="C15924"/>
    <x v="5"/>
    <s v="1"/>
    <s v="245.89"/>
    <s v="549 Main St"/>
    <s v="Debit Card"/>
    <s v="Delivered"/>
    <s v="TRK14835975"/>
    <s v="3"/>
    <s v="Save10"/>
    <x v="4"/>
    <n v="245.89"/>
    <n v="196.71199999999999"/>
    <n v="49.177999999999997"/>
    <x v="8"/>
  </r>
  <r>
    <s v="ORD200039"/>
    <s v="27/02/2025"/>
    <s v="C96664"/>
    <x v="4"/>
    <s v="3"/>
    <s v="256.46"/>
    <s v="666 Main St"/>
    <s v="Credit Card"/>
    <s v="Delivered"/>
    <s v="TRK85508960"/>
    <s v="4"/>
    <s v="Save10"/>
    <x v="1"/>
    <n v="769.37999999999988"/>
    <n v="205.16799999999998"/>
    <n v="564.21199999999988"/>
    <x v="2"/>
  </r>
  <r>
    <s v="ORD200040"/>
    <s v="20/08/2023"/>
    <s v="C84766"/>
    <x v="6"/>
    <s v="2"/>
    <s v="344.02"/>
    <s v="267 Main St"/>
    <s v="Online"/>
    <s v="Delivered"/>
    <s v="TRK78967923"/>
    <s v="4"/>
    <s v="Freeship"/>
    <x v="0"/>
    <n v="688.04"/>
    <n v="275.21600000000001"/>
    <n v="412.82399999999996"/>
    <x v="1"/>
  </r>
  <r>
    <s v="ORD200041"/>
    <s v="05/12/2023"/>
    <s v="C20212"/>
    <x v="0"/>
    <s v="3"/>
    <s v="611.45"/>
    <s v="657 Main St"/>
    <s v="Gift Card"/>
    <s v="Pending"/>
    <s v="TRK69733327"/>
    <s v="4"/>
    <s v="Freeship"/>
    <x v="0"/>
    <n v="1834.3500000000001"/>
    <n v="489.16"/>
    <n v="1345.19"/>
    <x v="8"/>
  </r>
  <r>
    <s v="ORD200043"/>
    <s v="14/12/2023"/>
    <s v="C60572"/>
    <x v="3"/>
    <s v="3"/>
    <s v="499.21"/>
    <s v="871 Main St"/>
    <s v="Online"/>
    <s v="Cancelled"/>
    <s v="TRK20351666"/>
    <s v="8"/>
    <s v="No Coupon"/>
    <x v="0"/>
    <n v="1497.6299999999999"/>
    <n v="399.36799999999999"/>
    <n v="1098.2619999999999"/>
    <x v="8"/>
  </r>
  <r>
    <s v="ORD200045"/>
    <s v="10/02/2024"/>
    <s v="C17388"/>
    <x v="3"/>
    <s v="1"/>
    <s v="317.25"/>
    <s v="157 Main St"/>
    <s v="Debit Card"/>
    <s v="Returned"/>
    <s v="TRK47077395"/>
    <s v="1"/>
    <s v="Save10"/>
    <x v="3"/>
    <n v="317.25"/>
    <n v="253.8"/>
    <n v="63.449999999999989"/>
    <x v="2"/>
  </r>
  <r>
    <s v="ORD200046"/>
    <s v="26/06/2024"/>
    <s v="C43212"/>
    <x v="0"/>
    <s v="4"/>
    <s v="550.14"/>
    <s v="223 Main St"/>
    <s v="Debit Card"/>
    <s v="Pending"/>
    <s v="TRK25100762"/>
    <s v="4"/>
    <s v="Freeship"/>
    <x v="0"/>
    <n v="2200.56"/>
    <n v="440.11199999999997"/>
    <n v="1760.4479999999999"/>
    <x v="5"/>
  </r>
  <r>
    <s v="ORD200047"/>
    <s v="19/07/2023"/>
    <s v="C38134"/>
    <x v="6"/>
    <s v="2"/>
    <s v="209.94"/>
    <s v="323 Main St"/>
    <s v="Credit Card"/>
    <s v="Returned"/>
    <s v="TRK42450754"/>
    <s v="3"/>
    <s v="Freeship"/>
    <x v="2"/>
    <n v="419.88"/>
    <n v="167.952"/>
    <n v="251.928"/>
    <x v="10"/>
  </r>
  <r>
    <s v="ORD200048"/>
    <s v="26/08/2023"/>
    <s v="C12408"/>
    <x v="0"/>
    <s v="2"/>
    <s v="80.77"/>
    <s v="464 Main St"/>
    <s v="Debit Card"/>
    <s v="Shipped"/>
    <s v="TRK38938858"/>
    <s v="4"/>
    <s v="No Coupon"/>
    <x v="4"/>
    <n v="161.54"/>
    <n v="64.616"/>
    <n v="96.923999999999992"/>
    <x v="1"/>
  </r>
  <r>
    <s v="ORD200050"/>
    <s v="31/07/2023"/>
    <s v="C96494"/>
    <x v="2"/>
    <s v="1"/>
    <s v="179.22"/>
    <s v="446 Main St"/>
    <s v="Online"/>
    <s v="Cancelled"/>
    <s v="TRK14675049"/>
    <s v="6"/>
    <s v="Freeship"/>
    <x v="0"/>
    <n v="179.22"/>
    <n v="143.376"/>
    <n v="35.843999999999994"/>
    <x v="10"/>
  </r>
  <r>
    <s v="ORD200051"/>
    <s v="30/12/2024"/>
    <s v="C36778"/>
    <x v="2"/>
    <s v="1"/>
    <s v="388.33"/>
    <s v="434 Main St"/>
    <s v="Cash"/>
    <s v="Returned"/>
    <s v="TRK67610289"/>
    <s v="2"/>
    <s v="Save10"/>
    <x v="3"/>
    <n v="388.33"/>
    <n v="310.66399999999999"/>
    <n v="77.665999999999997"/>
    <x v="8"/>
  </r>
  <r>
    <s v="ORD200052"/>
    <s v="08/09/2024"/>
    <s v="C30513"/>
    <x v="2"/>
    <s v="1"/>
    <s v="586.44"/>
    <s v="232 Main St"/>
    <s v="Online"/>
    <s v="Returned"/>
    <s v="TRK64320429"/>
    <s v="5"/>
    <s v="Save10"/>
    <x v="3"/>
    <n v="586.44000000000005"/>
    <n v="469.15200000000004"/>
    <n v="117.28800000000001"/>
    <x v="11"/>
  </r>
  <r>
    <s v="ORD200054"/>
    <s v="27/03/2025"/>
    <s v="C48120"/>
    <x v="3"/>
    <s v="1"/>
    <s v="280.25"/>
    <s v="623 Main St"/>
    <s v="Online"/>
    <s v="Pending"/>
    <s v="TRK11014449"/>
    <s v="5"/>
    <s v="Winter15"/>
    <x v="2"/>
    <n v="280.25"/>
    <n v="224.2"/>
    <n v="56.050000000000011"/>
    <x v="9"/>
  </r>
  <r>
    <s v="ORD200055"/>
    <s v="24/06/2025"/>
    <s v="C95984"/>
    <x v="4"/>
    <s v="3"/>
    <s v="344.4"/>
    <s v="565 Main St"/>
    <s v="Online"/>
    <s v="Cancelled"/>
    <s v="TRK67434829"/>
    <s v="3"/>
    <s v="No Coupon"/>
    <x v="3"/>
    <n v="1033.1999999999998"/>
    <n v="275.52"/>
    <n v="757.67999999999984"/>
    <x v="5"/>
  </r>
  <r>
    <s v="ORD200056"/>
    <s v="21/05/2023"/>
    <s v="C54298"/>
    <x v="2"/>
    <s v="3"/>
    <s v="479.21"/>
    <s v="566 Main St"/>
    <s v="Cash"/>
    <s v="Cancelled"/>
    <s v="TRK62902341"/>
    <s v="5"/>
    <s v="Winter15"/>
    <x v="1"/>
    <n v="1437.6299999999999"/>
    <n v="383.36799999999999"/>
    <n v="1054.2619999999999"/>
    <x v="4"/>
  </r>
  <r>
    <s v="ORD200057"/>
    <s v="22/01/2023"/>
    <s v="C88036"/>
    <x v="4"/>
    <s v="5"/>
    <s v="314.27"/>
    <s v="842 Main St"/>
    <s v="Cash"/>
    <s v="Returned"/>
    <s v="TRK52470128"/>
    <s v="6"/>
    <s v="Save10"/>
    <x v="0"/>
    <n v="1571.35"/>
    <n v="251.416"/>
    <n v="1319.934"/>
    <x v="0"/>
  </r>
  <r>
    <s v="ORD200058"/>
    <s v="15/01/2023"/>
    <s v="C60190"/>
    <x v="1"/>
    <s v="4"/>
    <s v="474.69"/>
    <s v="202 Main St"/>
    <s v="Gift Card"/>
    <s v="Cancelled"/>
    <s v="TRK70857868"/>
    <s v="6"/>
    <s v="Save10"/>
    <x v="4"/>
    <n v="1898.76"/>
    <n v="379.75200000000001"/>
    <n v="1519.008"/>
    <x v="0"/>
  </r>
  <r>
    <s v="ORD200059"/>
    <s v="11/09/2024"/>
    <s v="C97603"/>
    <x v="3"/>
    <s v="4"/>
    <s v="593.27"/>
    <s v="811 Main St"/>
    <s v="Online"/>
    <s v="Shipped"/>
    <s v="TRK47055028"/>
    <s v="5"/>
    <s v="No Coupon"/>
    <x v="3"/>
    <n v="2373.08"/>
    <n v="474.61599999999999"/>
    <n v="1898.4639999999999"/>
    <x v="11"/>
  </r>
  <r>
    <s v="ORD200060"/>
    <s v="21/08/2024"/>
    <s v="C39256"/>
    <x v="6"/>
    <s v="1"/>
    <s v="417.1"/>
    <s v="634 Main St"/>
    <s v="Debit Card"/>
    <s v="Returned"/>
    <s v="TRK23412025"/>
    <s v="3"/>
    <s v="Freeship"/>
    <x v="1"/>
    <n v="417.1"/>
    <n v="333.68"/>
    <n v="83.420000000000016"/>
    <x v="1"/>
  </r>
  <r>
    <s v="ORD200061"/>
    <s v="24/03/2024"/>
    <s v="C61618"/>
    <x v="6"/>
    <s v="4"/>
    <s v="122.2"/>
    <s v="104 Main St"/>
    <s v="Cash"/>
    <s v="Delivered"/>
    <s v="TRK43458485"/>
    <s v="7"/>
    <s v="Freeship"/>
    <x v="3"/>
    <n v="488.8"/>
    <n v="97.76"/>
    <n v="391.04"/>
    <x v="9"/>
  </r>
  <r>
    <s v="ORD200062"/>
    <s v="22/08/2023"/>
    <s v="C36497"/>
    <x v="6"/>
    <s v="2"/>
    <s v="43.15"/>
    <s v="691 Main St"/>
    <s v="Debit Card"/>
    <s v="Pending"/>
    <s v="TRK12102911"/>
    <s v="3"/>
    <s v="Winter15"/>
    <x v="2"/>
    <n v="86.3"/>
    <n v="34.519999999999996"/>
    <n v="51.78"/>
    <x v="1"/>
  </r>
  <r>
    <s v="ORD200063"/>
    <s v="02/02/2025"/>
    <s v="C96695"/>
    <x v="3"/>
    <s v="1"/>
    <s v="564.86"/>
    <s v="813 Main St"/>
    <s v="Debit Card"/>
    <s v="Shipped"/>
    <s v="TRK64283851"/>
    <s v="6"/>
    <s v="Winter15"/>
    <x v="1"/>
    <n v="564.86"/>
    <n v="451.88800000000003"/>
    <n v="112.97199999999998"/>
    <x v="2"/>
  </r>
  <r>
    <s v="ORD200064"/>
    <s v="25/06/2025"/>
    <s v="C49720"/>
    <x v="4"/>
    <s v="3"/>
    <s v="130.61"/>
    <s v="752 Main St"/>
    <s v="Debit Card"/>
    <s v="Cancelled"/>
    <s v="TRK55785217"/>
    <s v="4"/>
    <s v="Freeship"/>
    <x v="3"/>
    <n v="391.83000000000004"/>
    <n v="104.48800000000001"/>
    <n v="287.34200000000004"/>
    <x v="5"/>
  </r>
  <r>
    <s v="ORD200065"/>
    <s v="30/12/2023"/>
    <s v="C97735"/>
    <x v="0"/>
    <s v="5"/>
    <s v="81.7"/>
    <s v="385 Main St"/>
    <s v="Credit Card"/>
    <s v="Delivered"/>
    <s v="TRK13743703"/>
    <s v="6"/>
    <s v="No Coupon"/>
    <x v="0"/>
    <n v="408.5"/>
    <n v="65.36"/>
    <n v="343.14"/>
    <x v="8"/>
  </r>
  <r>
    <s v="ORD200066"/>
    <s v="15/11/2024"/>
    <s v="C18104"/>
    <x v="3"/>
    <s v="5"/>
    <s v="127.18"/>
    <s v="715 Main St"/>
    <s v="Cash"/>
    <s v="Cancelled"/>
    <s v="TRK15488568"/>
    <s v="9"/>
    <s v="Save10"/>
    <x v="1"/>
    <n v="635.90000000000009"/>
    <n v="101.744"/>
    <n v="534.15600000000006"/>
    <x v="7"/>
  </r>
  <r>
    <s v="ORD200067"/>
    <s v="09/12/2024"/>
    <s v="C25587"/>
    <x v="4"/>
    <s v="4"/>
    <s v="12.1"/>
    <s v="440 Main St"/>
    <s v="Debit Card"/>
    <s v="Cancelled"/>
    <s v="TRK55105323"/>
    <s v="8"/>
    <s v="No Coupon"/>
    <x v="4"/>
    <n v="48.4"/>
    <n v="9.68"/>
    <n v="38.72"/>
    <x v="8"/>
  </r>
  <r>
    <s v="ORD200069"/>
    <s v="11/05/2023"/>
    <s v="C43338"/>
    <x v="0"/>
    <s v="3"/>
    <s v="478.65"/>
    <s v="552 Main St"/>
    <s v="Online"/>
    <s v="Shipped"/>
    <s v="TRK35241775"/>
    <s v="4"/>
    <s v="No Coupon"/>
    <x v="1"/>
    <n v="1435.9499999999998"/>
    <n v="382.91999999999996"/>
    <n v="1053.0299999999997"/>
    <x v="4"/>
  </r>
  <r>
    <s v="ORD200070"/>
    <s v="26/05/2023"/>
    <s v="C25123"/>
    <x v="6"/>
    <s v="1"/>
    <s v="629.21"/>
    <s v="384 Main St"/>
    <s v="Gift Card"/>
    <s v="Pending"/>
    <s v="TRK27812282"/>
    <s v="2"/>
    <s v="Freeship"/>
    <x v="0"/>
    <n v="629.21"/>
    <n v="503.36800000000005"/>
    <n v="125.84199999999998"/>
    <x v="4"/>
  </r>
  <r>
    <s v="ORD200071"/>
    <s v="10/06/2025"/>
    <s v="C37454"/>
    <x v="0"/>
    <s v="3"/>
    <s v="434.45"/>
    <s v="923 Main St"/>
    <s v="Credit Card"/>
    <s v="Pending"/>
    <s v="TRK28252730"/>
    <s v="4"/>
    <s v="No Coupon"/>
    <x v="1"/>
    <n v="1303.3499999999999"/>
    <n v="347.56"/>
    <n v="955.79"/>
    <x v="5"/>
  </r>
  <r>
    <s v="ORD200073"/>
    <s v="03/05/2023"/>
    <s v="C17269"/>
    <x v="0"/>
    <s v="4"/>
    <s v="433.45"/>
    <s v="129 Main St"/>
    <s v="Gift Card"/>
    <s v="Cancelled"/>
    <s v="TRK79608389"/>
    <s v="4"/>
    <s v="No Coupon"/>
    <x v="3"/>
    <n v="1733.8"/>
    <n v="346.76"/>
    <n v="1387.04"/>
    <x v="4"/>
  </r>
  <r>
    <s v="ORD200074"/>
    <s v="24/06/2023"/>
    <s v="C25382"/>
    <x v="1"/>
    <s v="5"/>
    <s v="90.87"/>
    <s v="622 Main St"/>
    <s v="Cash"/>
    <s v="Pending"/>
    <s v="TRK64691287"/>
    <s v="5"/>
    <s v="No Coupon"/>
    <x v="0"/>
    <n v="454.35"/>
    <n v="72.695999999999998"/>
    <n v="381.654"/>
    <x v="5"/>
  </r>
  <r>
    <s v="ORD200075"/>
    <s v="26/09/2023"/>
    <s v="C80651"/>
    <x v="2"/>
    <s v="3"/>
    <s v="398.17"/>
    <s v="917 Main St"/>
    <s v="Debit Card"/>
    <s v="Delivered"/>
    <s v="TRK14846720"/>
    <s v="5"/>
    <s v="Save10"/>
    <x v="2"/>
    <n v="1194.51"/>
    <n v="318.536"/>
    <n v="875.97399999999993"/>
    <x v="11"/>
  </r>
  <r>
    <s v="ORD200076"/>
    <s v="31/03/2024"/>
    <s v="C58638"/>
    <x v="5"/>
    <s v="4"/>
    <s v="382.88"/>
    <s v="239 Main St"/>
    <s v="Cash"/>
    <s v="Cancelled"/>
    <s v="TRK38224871"/>
    <s v="6"/>
    <s v="Winter15"/>
    <x v="2"/>
    <n v="1531.52"/>
    <n v="306.30399999999997"/>
    <n v="1225.2159999999999"/>
    <x v="9"/>
  </r>
  <r>
    <s v="ORD200077"/>
    <s v="24/05/2024"/>
    <s v="C50121"/>
    <x v="1"/>
    <s v="1"/>
    <s v="583.18"/>
    <s v="348 Main St"/>
    <s v="Credit Card"/>
    <s v="Returned"/>
    <s v="TRK79810059"/>
    <s v="5"/>
    <s v="No Coupon"/>
    <x v="4"/>
    <n v="583.17999999999995"/>
    <n v="466.54399999999998"/>
    <n v="116.63599999999997"/>
    <x v="4"/>
  </r>
  <r>
    <s v="ORD200078"/>
    <s v="06/08/2024"/>
    <s v="C32029"/>
    <x v="4"/>
    <s v="4"/>
    <s v="175.36"/>
    <s v="146 Main St"/>
    <s v="Debit Card"/>
    <s v="Delivered"/>
    <s v="TRK68535532"/>
    <s v="4"/>
    <s v="Freeship"/>
    <x v="0"/>
    <n v="701.44"/>
    <n v="140.28800000000001"/>
    <n v="561.15200000000004"/>
    <x v="1"/>
  </r>
  <r>
    <s v="ORD200079"/>
    <s v="10/03/2025"/>
    <s v="C76700"/>
    <x v="2"/>
    <s v="2"/>
    <s v="311.91"/>
    <s v="103 Main St"/>
    <s v="Online"/>
    <s v="Shipped"/>
    <s v="TRK13036341"/>
    <s v="2"/>
    <s v="No Coupon"/>
    <x v="3"/>
    <n v="623.82000000000005"/>
    <n v="249.52800000000002"/>
    <n v="374.29200000000003"/>
    <x v="9"/>
  </r>
  <r>
    <s v="ORD200080"/>
    <s v="27/06/2023"/>
    <s v="C29041"/>
    <x v="1"/>
    <s v="3"/>
    <s v="589.56"/>
    <s v="591 Main St"/>
    <s v="Online"/>
    <s v="Returned"/>
    <s v="TRK28840655"/>
    <s v="6"/>
    <s v="No Coupon"/>
    <x v="3"/>
    <n v="1768.6799999999998"/>
    <n v="471.64799999999997"/>
    <n v="1297.0319999999999"/>
    <x v="5"/>
  </r>
  <r>
    <s v="ORD200081"/>
    <s v="08/06/2023"/>
    <s v="C29314"/>
    <x v="0"/>
    <s v="2"/>
    <s v="394.3"/>
    <s v="496 Main St"/>
    <s v="Cash"/>
    <s v="Shipped"/>
    <s v="TRK59876213"/>
    <s v="6"/>
    <s v="Freeship"/>
    <x v="2"/>
    <n v="788.6"/>
    <n v="315.44"/>
    <n v="473.16"/>
    <x v="5"/>
  </r>
  <r>
    <s v="ORD200082"/>
    <s v="05/01/2024"/>
    <s v="C65799"/>
    <x v="2"/>
    <s v="4"/>
    <s v="565.2"/>
    <s v="971 Main St"/>
    <s v="Debit Card"/>
    <s v="Shipped"/>
    <s v="TRK66906607"/>
    <s v="9"/>
    <s v="Save10"/>
    <x v="4"/>
    <n v="2260.8000000000002"/>
    <n v="452.16"/>
    <n v="1808.64"/>
    <x v="0"/>
  </r>
  <r>
    <s v="ORD200084"/>
    <s v="28/08/2023"/>
    <s v="C64160"/>
    <x v="0"/>
    <s v="2"/>
    <s v="165.49"/>
    <s v="967 Main St"/>
    <s v="Online"/>
    <s v="Shipped"/>
    <s v="TRK34121529"/>
    <s v="4"/>
    <s v="Winter15"/>
    <x v="0"/>
    <n v="330.98"/>
    <n v="132.392"/>
    <n v="198.58800000000002"/>
    <x v="1"/>
  </r>
  <r>
    <s v="ORD200085"/>
    <s v="09/09/2024"/>
    <s v="C14553"/>
    <x v="2"/>
    <s v="3"/>
    <s v="146.73"/>
    <s v="768 Main St"/>
    <s v="Cash"/>
    <s v="Delivered"/>
    <s v="TRK93538334"/>
    <s v="8"/>
    <s v="Freeship"/>
    <x v="2"/>
    <n v="440.18999999999994"/>
    <n v="117.38399999999999"/>
    <n v="322.80599999999993"/>
    <x v="11"/>
  </r>
  <r>
    <s v="ORD200086"/>
    <s v="19/06/2024"/>
    <s v="C88205"/>
    <x v="4"/>
    <s v="5"/>
    <s v="643.03"/>
    <s v="447 Main St"/>
    <s v="Online"/>
    <s v="Cancelled"/>
    <s v="TRK93504166"/>
    <s v="5"/>
    <s v="Freeship"/>
    <x v="1"/>
    <n v="3215.1499999999996"/>
    <n v="514.42399999999998"/>
    <n v="2700.7259999999997"/>
    <x v="5"/>
  </r>
  <r>
    <s v="ORD200087"/>
    <s v="10/10/2024"/>
    <s v="C91245"/>
    <x v="2"/>
    <s v="3"/>
    <s v="225.11"/>
    <s v="915 Main St"/>
    <s v="Cash"/>
    <s v="Shipped"/>
    <s v="TRK46976391"/>
    <s v="4"/>
    <s v="Save10"/>
    <x v="3"/>
    <n v="675.33"/>
    <n v="180.08800000000002"/>
    <n v="495.24200000000002"/>
    <x v="3"/>
  </r>
  <r>
    <s v="ORD200088"/>
    <s v="05/06/2025"/>
    <s v="C75439"/>
    <x v="6"/>
    <s v="3"/>
    <s v="114.81"/>
    <s v="318 Main St"/>
    <s v="Gift Card"/>
    <s v="Cancelled"/>
    <s v="TRK19831653"/>
    <s v="7"/>
    <s v="No Coupon"/>
    <x v="4"/>
    <n v="344.43"/>
    <n v="91.847999999999999"/>
    <n v="252.58199999999999"/>
    <x v="5"/>
  </r>
  <r>
    <s v="ORD200089"/>
    <s v="25/02/2025"/>
    <s v="C17181"/>
    <x v="4"/>
    <s v="5"/>
    <s v="455.33"/>
    <s v="291 Main St"/>
    <s v="Credit Card"/>
    <s v="Cancelled"/>
    <s v="TRK78912978"/>
    <s v="8"/>
    <s v="Freeship"/>
    <x v="4"/>
    <n v="2276.65"/>
    <n v="364.26400000000001"/>
    <n v="1912.386"/>
    <x v="2"/>
  </r>
  <r>
    <s v="ORD200090"/>
    <s v="18/09/2023"/>
    <s v="C36540"/>
    <x v="3"/>
    <s v="4"/>
    <s v="182.08"/>
    <s v="611 Main St"/>
    <s v="Gift Card"/>
    <s v="Delivered"/>
    <s v="TRK35828122"/>
    <s v="4"/>
    <s v="Save10"/>
    <x v="2"/>
    <n v="728.32"/>
    <n v="145.66400000000002"/>
    <n v="582.65600000000006"/>
    <x v="11"/>
  </r>
  <r>
    <s v="ORD200091"/>
    <s v="15/03/2023"/>
    <s v="C98216"/>
    <x v="5"/>
    <s v="5"/>
    <s v="492.75"/>
    <s v="196 Main St"/>
    <s v="Cash"/>
    <s v="Shipped"/>
    <s v="TRK40986666"/>
    <s v="6"/>
    <s v="Winter15"/>
    <x v="1"/>
    <n v="2463.75"/>
    <n v="394.2"/>
    <n v="2069.5500000000002"/>
    <x v="9"/>
  </r>
  <r>
    <s v="ORD200092"/>
    <s v="10/06/2024"/>
    <s v="C29568"/>
    <x v="4"/>
    <s v="4"/>
    <s v="48.61"/>
    <s v="203 Main St"/>
    <s v="Online"/>
    <s v="Shipped"/>
    <s v="TRK46531075"/>
    <s v="7"/>
    <s v="Freeship"/>
    <x v="3"/>
    <n v="194.44"/>
    <n v="38.887999999999998"/>
    <n v="155.55199999999999"/>
    <x v="5"/>
  </r>
  <r>
    <s v="ORD200093"/>
    <s v="14/01/2023"/>
    <s v="C97262"/>
    <x v="6"/>
    <s v="4"/>
    <s v="431.01"/>
    <s v="837 Main St"/>
    <s v="Credit Card"/>
    <s v="Returned"/>
    <s v="TRK65990229"/>
    <s v="7"/>
    <s v="No Coupon"/>
    <x v="1"/>
    <n v="1724.04"/>
    <n v="344.80799999999999"/>
    <n v="1379.232"/>
    <x v="0"/>
  </r>
  <r>
    <s v="ORD200094"/>
    <s v="11/02/2023"/>
    <s v="C79821"/>
    <x v="3"/>
    <s v="1"/>
    <s v="531.18"/>
    <s v="781 Main St"/>
    <s v="Gift Card"/>
    <s v="Returned"/>
    <s v="TRK12780193"/>
    <s v="6"/>
    <s v="Winter15"/>
    <x v="0"/>
    <n v="531.17999999999995"/>
    <n v="424.94399999999996"/>
    <n v="106.23599999999999"/>
    <x v="2"/>
  </r>
  <r>
    <s v="ORD200095"/>
    <s v="24/03/2023"/>
    <s v="C76761"/>
    <x v="4"/>
    <s v="4"/>
    <s v="117.51"/>
    <s v="839 Main St"/>
    <s v="Debit Card"/>
    <s v="Returned"/>
    <s v="TRK60179774"/>
    <s v="7"/>
    <s v="No Coupon"/>
    <x v="1"/>
    <n v="470.04"/>
    <n v="94.00800000000001"/>
    <n v="376.03200000000004"/>
    <x v="9"/>
  </r>
  <r>
    <s v="ORD200097"/>
    <s v="21/01/2025"/>
    <s v="C15624"/>
    <x v="2"/>
    <s v="5"/>
    <s v="619.52"/>
    <s v="922 Main St"/>
    <s v="Debit Card"/>
    <s v="Pending"/>
    <s v="TRK40621141"/>
    <s v="9"/>
    <s v="No Coupon"/>
    <x v="2"/>
    <n v="3097.6"/>
    <n v="495.61599999999999"/>
    <n v="2601.9839999999999"/>
    <x v="0"/>
  </r>
  <r>
    <s v="ORD200099"/>
    <s v="12/04/2025"/>
    <s v="C30477"/>
    <x v="4"/>
    <s v="1"/>
    <s v="201.58"/>
    <s v="717 Main St"/>
    <s v="Debit Card"/>
    <s v="Cancelled"/>
    <s v="TRK51829648"/>
    <s v="2"/>
    <s v="Winter15"/>
    <x v="2"/>
    <n v="201.58"/>
    <n v="161.26400000000001"/>
    <n v="40.316000000000003"/>
    <x v="6"/>
  </r>
  <r>
    <s v="ORD200100"/>
    <s v="17/02/2023"/>
    <s v="C74866"/>
    <x v="1"/>
    <s v="3"/>
    <s v="664.79"/>
    <s v="743 Main St"/>
    <s v="Online"/>
    <s v="Delivered"/>
    <s v="TRK53783265"/>
    <s v="6"/>
    <s v="No Coupon"/>
    <x v="3"/>
    <n v="1994.37"/>
    <n v="531.83199999999999"/>
    <n v="1462.538"/>
    <x v="2"/>
  </r>
  <r>
    <s v="ORD200101"/>
    <s v="25/11/2023"/>
    <s v="C15283"/>
    <x v="4"/>
    <s v="1"/>
    <s v="381.02"/>
    <s v="152 Main St"/>
    <s v="Cash"/>
    <s v="Shipped"/>
    <s v="TRK19286291"/>
    <s v="6"/>
    <s v="No Coupon"/>
    <x v="4"/>
    <n v="381.02"/>
    <n v="304.81599999999997"/>
    <n v="76.204000000000008"/>
    <x v="7"/>
  </r>
  <r>
    <s v="ORD200102"/>
    <s v="08/03/2023"/>
    <s v="C18037"/>
    <x v="5"/>
    <s v="2"/>
    <s v="70.34"/>
    <s v="944 Main St"/>
    <s v="Gift Card"/>
    <s v="Cancelled"/>
    <s v="TRK47362236"/>
    <s v="3"/>
    <s v="Freeship"/>
    <x v="2"/>
    <n v="140.68"/>
    <n v="56.272000000000006"/>
    <n v="84.408000000000001"/>
    <x v="9"/>
  </r>
  <r>
    <s v="ORD200103"/>
    <s v="25/01/2025"/>
    <s v="C62656"/>
    <x v="1"/>
    <s v="4"/>
    <s v="218.43"/>
    <s v="514 Main St"/>
    <s v="Credit Card"/>
    <s v="Cancelled"/>
    <s v="TRK86296459"/>
    <s v="9"/>
    <s v="Save10"/>
    <x v="2"/>
    <n v="873.72"/>
    <n v="174.744"/>
    <n v="698.976"/>
    <x v="0"/>
  </r>
  <r>
    <s v="ORD200104"/>
    <s v="30/07/2024"/>
    <s v="C65744"/>
    <x v="1"/>
    <s v="1"/>
    <s v="582.04"/>
    <s v="647 Main St"/>
    <s v="Gift Card"/>
    <s v="Delivered"/>
    <s v="TRK39906058"/>
    <s v="1"/>
    <s v="Freeship"/>
    <x v="2"/>
    <n v="582.04"/>
    <n v="465.63199999999995"/>
    <n v="116.40800000000002"/>
    <x v="10"/>
  </r>
  <r>
    <s v="ORD200105"/>
    <s v="24/10/2024"/>
    <s v="C72290"/>
    <x v="4"/>
    <s v="3"/>
    <s v="185.4"/>
    <s v="810 Main St"/>
    <s v="Gift Card"/>
    <s v="Cancelled"/>
    <s v="TRK68792129"/>
    <s v="7"/>
    <s v="No Coupon"/>
    <x v="3"/>
    <n v="556.20000000000005"/>
    <n v="148.32"/>
    <n v="407.88000000000005"/>
    <x v="3"/>
  </r>
  <r>
    <s v="ORD200106"/>
    <s v="08/09/2023"/>
    <s v="C73514"/>
    <x v="6"/>
    <s v="3"/>
    <s v="465.05"/>
    <s v="126 Main St"/>
    <s v="Credit Card"/>
    <s v="Cancelled"/>
    <s v="TRK96777924"/>
    <s v="3"/>
    <s v="Save10"/>
    <x v="2"/>
    <n v="1395.15"/>
    <n v="372.04"/>
    <n v="1023.1100000000001"/>
    <x v="11"/>
  </r>
  <r>
    <s v="ORD200108"/>
    <s v="28/12/2024"/>
    <s v="C33099"/>
    <x v="5"/>
    <s v="5"/>
    <s v="48.38"/>
    <s v="522 Main St"/>
    <s v="Gift Card"/>
    <s v="Delivered"/>
    <s v="TRK28522330"/>
    <s v="9"/>
    <s v="Winter15"/>
    <x v="2"/>
    <n v="241.9"/>
    <n v="38.704000000000001"/>
    <n v="203.196"/>
    <x v="8"/>
  </r>
  <r>
    <s v="ORD200109"/>
    <s v="17/09/2023"/>
    <s v="C51157"/>
    <x v="6"/>
    <s v="3"/>
    <s v="592.87"/>
    <s v="131 Main St"/>
    <s v="Gift Card"/>
    <s v="Shipped"/>
    <s v="TRK18674578"/>
    <s v="3"/>
    <s v="Freeship"/>
    <x v="1"/>
    <n v="1778.6100000000001"/>
    <n v="474.29599999999999"/>
    <n v="1304.3140000000001"/>
    <x v="11"/>
  </r>
  <r>
    <s v="ORD200110"/>
    <s v="21/04/2024"/>
    <s v="C74562"/>
    <x v="2"/>
    <s v="1"/>
    <s v="220.77"/>
    <s v="388 Main St"/>
    <s v="Gift Card"/>
    <s v="Pending"/>
    <s v="TRK32062079"/>
    <s v="5"/>
    <s v="Freeship"/>
    <x v="0"/>
    <n v="220.77"/>
    <n v="176.61600000000001"/>
    <n v="44.153999999999996"/>
    <x v="6"/>
  </r>
  <r>
    <s v="ORD200111"/>
    <s v="07/05/2025"/>
    <s v="C95271"/>
    <x v="6"/>
    <s v="3"/>
    <s v="309.22"/>
    <s v="620 Main St"/>
    <s v="Online"/>
    <s v="Cancelled"/>
    <s v="TRK74904969"/>
    <s v="7"/>
    <s v="Freeship"/>
    <x v="4"/>
    <n v="927.66000000000008"/>
    <n v="247.37600000000003"/>
    <n v="680.28400000000011"/>
    <x v="4"/>
  </r>
  <r>
    <s v="ORD200112"/>
    <s v="01/01/2023"/>
    <s v="C81366"/>
    <x v="0"/>
    <s v="1"/>
    <s v="410.6"/>
    <s v="423 Main St"/>
    <s v="Online"/>
    <s v="Cancelled"/>
    <s v="TRK17062206"/>
    <s v="2"/>
    <s v="Winter15"/>
    <x v="1"/>
    <n v="410.6"/>
    <n v="328.48"/>
    <n v="82.12"/>
    <x v="0"/>
  </r>
  <r>
    <s v="ORD200113"/>
    <s v="17/01/2024"/>
    <s v="C65905"/>
    <x v="5"/>
    <s v="5"/>
    <s v="190.08"/>
    <s v="605 Main St"/>
    <s v="Cash"/>
    <s v="Shipped"/>
    <s v="TRK73954365"/>
    <s v="9"/>
    <s v="Freeship"/>
    <x v="0"/>
    <n v="950.40000000000009"/>
    <n v="152.06400000000002"/>
    <n v="798.33600000000001"/>
    <x v="0"/>
  </r>
  <r>
    <s v="ORD200114"/>
    <s v="27/01/2025"/>
    <s v="C77272"/>
    <x v="0"/>
    <s v="5"/>
    <s v="498.48"/>
    <s v="115 Main St"/>
    <s v="Online"/>
    <s v="Pending"/>
    <s v="TRK29708128"/>
    <s v="8"/>
    <s v="Save10"/>
    <x v="4"/>
    <n v="2492.4"/>
    <n v="398.78399999999999"/>
    <n v="2093.616"/>
    <x v="0"/>
  </r>
  <r>
    <s v="ORD200115"/>
    <s v="27/11/2023"/>
    <s v="C32580"/>
    <x v="1"/>
    <s v="5"/>
    <s v="374.99"/>
    <s v="122 Main St"/>
    <s v="Online"/>
    <s v="Shipped"/>
    <s v="TRK23670394"/>
    <s v="9"/>
    <s v="Save10"/>
    <x v="3"/>
    <n v="1874.95"/>
    <n v="299.99200000000002"/>
    <n v="1574.9580000000001"/>
    <x v="7"/>
  </r>
  <r>
    <s v="ORD200116"/>
    <s v="19/03/2023"/>
    <s v="C47761"/>
    <x v="4"/>
    <s v="4"/>
    <s v="291.35"/>
    <s v="109 Main St"/>
    <s v="Credit Card"/>
    <s v="Cancelled"/>
    <s v="TRK66669207"/>
    <s v="6"/>
    <s v="Winter15"/>
    <x v="3"/>
    <n v="1165.4000000000001"/>
    <n v="233.08"/>
    <n v="932.32"/>
    <x v="9"/>
  </r>
  <r>
    <s v="ORD200118"/>
    <s v="09/10/2023"/>
    <s v="C27898"/>
    <x v="4"/>
    <s v="5"/>
    <s v="502.71"/>
    <s v="807 Main St"/>
    <s v="Gift Card"/>
    <s v="Shipped"/>
    <s v="TRK61957665"/>
    <s v="7"/>
    <s v="Freeship"/>
    <x v="4"/>
    <n v="2513.5499999999997"/>
    <n v="402.16800000000001"/>
    <n v="2111.3819999999996"/>
    <x v="3"/>
  </r>
  <r>
    <s v="ORD200119"/>
    <s v="11/06/2025"/>
    <s v="C14683"/>
    <x v="6"/>
    <s v="2"/>
    <s v="534.67"/>
    <s v="187 Main St"/>
    <s v="Debit Card"/>
    <s v="Shipped"/>
    <s v="TRK47373682"/>
    <s v="7"/>
    <s v="Freeship"/>
    <x v="1"/>
    <n v="1069.3399999999999"/>
    <n v="427.73599999999999"/>
    <n v="641.60399999999993"/>
    <x v="5"/>
  </r>
  <r>
    <s v="ORD200121"/>
    <s v="30/11/2023"/>
    <s v="C89822"/>
    <x v="6"/>
    <s v="1"/>
    <s v="410.78"/>
    <s v="673 Main St"/>
    <s v="Cash"/>
    <s v="Cancelled"/>
    <s v="TRK24138598"/>
    <s v="1"/>
    <s v="Freeship"/>
    <x v="0"/>
    <n v="410.78"/>
    <n v="328.62399999999997"/>
    <n v="82.156000000000006"/>
    <x v="7"/>
  </r>
  <r>
    <s v="ORD200122"/>
    <s v="15/04/2024"/>
    <s v="C96787"/>
    <x v="5"/>
    <s v="2"/>
    <s v="533.02"/>
    <s v="588 Main St"/>
    <s v="Gift Card"/>
    <s v="Shipped"/>
    <s v="TRK30422853"/>
    <s v="2"/>
    <s v="No Coupon"/>
    <x v="3"/>
    <n v="1066.04"/>
    <n v="426.416"/>
    <n v="639.62400000000002"/>
    <x v="6"/>
  </r>
  <r>
    <s v="ORD200123"/>
    <s v="06/07/2023"/>
    <s v="C86064"/>
    <x v="6"/>
    <s v="3"/>
    <s v="278.04"/>
    <s v="727 Main St"/>
    <s v="Online"/>
    <s v="Delivered"/>
    <s v="TRK62182901"/>
    <s v="5"/>
    <s v="No Coupon"/>
    <x v="0"/>
    <n v="834.12000000000012"/>
    <n v="222.43200000000002"/>
    <n v="611.6880000000001"/>
    <x v="10"/>
  </r>
  <r>
    <s v="ORD200124"/>
    <s v="28/07/2024"/>
    <s v="C97148"/>
    <x v="4"/>
    <s v="4"/>
    <s v="283.79"/>
    <s v="563 Main St"/>
    <s v="Online"/>
    <s v="Pending"/>
    <s v="TRK85321126"/>
    <s v="8"/>
    <s v="No Coupon"/>
    <x v="4"/>
    <n v="1135.1600000000001"/>
    <n v="227.03200000000001"/>
    <n v="908.12800000000004"/>
    <x v="10"/>
  </r>
  <r>
    <s v="ORD200125"/>
    <s v="06/11/2024"/>
    <s v="C91099"/>
    <x v="1"/>
    <s v="2"/>
    <s v="512.65"/>
    <s v="758 Main St"/>
    <s v="Credit Card"/>
    <s v="Shipped"/>
    <s v="TRK81846174"/>
    <s v="5"/>
    <s v="Save10"/>
    <x v="2"/>
    <n v="1025.3"/>
    <n v="410.12"/>
    <n v="615.17999999999995"/>
    <x v="7"/>
  </r>
  <r>
    <s v="ORD200126"/>
    <s v="03/05/2025"/>
    <s v="C55606"/>
    <x v="6"/>
    <s v="4"/>
    <s v="275.5"/>
    <s v="353 Main St"/>
    <s v="Gift Card"/>
    <s v="Shipped"/>
    <s v="TRK68250319"/>
    <s v="8"/>
    <s v="Freeship"/>
    <x v="4"/>
    <n v="1102"/>
    <n v="220.4"/>
    <n v="881.6"/>
    <x v="4"/>
  </r>
  <r>
    <s v="ORD200127"/>
    <s v="10/08/2023"/>
    <s v="C71486"/>
    <x v="6"/>
    <s v="3"/>
    <s v="469.32"/>
    <s v="365 Main St"/>
    <s v="Debit Card"/>
    <s v="Shipped"/>
    <s v="TRK73929833"/>
    <s v="3"/>
    <s v="No Coupon"/>
    <x v="4"/>
    <n v="1407.96"/>
    <n v="375.45600000000002"/>
    <n v="1032.5039999999999"/>
    <x v="1"/>
  </r>
  <r>
    <s v="ORD200129"/>
    <s v="27/10/2023"/>
    <s v="C52751"/>
    <x v="5"/>
    <s v="4"/>
    <s v="263.93"/>
    <s v="427 Main St"/>
    <s v="Debit Card"/>
    <s v="Shipped"/>
    <s v="TRK72481234"/>
    <s v="4"/>
    <s v="Freeship"/>
    <x v="3"/>
    <n v="1055.72"/>
    <n v="211.14400000000001"/>
    <n v="844.57600000000002"/>
    <x v="3"/>
  </r>
  <r>
    <s v="ORD200130"/>
    <s v="22/01/2025"/>
    <s v="C29059"/>
    <x v="6"/>
    <s v="3"/>
    <s v="501.3"/>
    <s v="513 Main St"/>
    <s v="Online"/>
    <s v="Cancelled"/>
    <s v="TRK88360704"/>
    <s v="3"/>
    <s v="Winter15"/>
    <x v="3"/>
    <n v="1503.9"/>
    <n v="401.04"/>
    <n v="1102.8600000000001"/>
    <x v="0"/>
  </r>
  <r>
    <s v="ORD200131"/>
    <s v="08/01/2023"/>
    <s v="C72862"/>
    <x v="2"/>
    <s v="1"/>
    <s v="84.8"/>
    <s v="606 Main St"/>
    <s v="Gift Card"/>
    <s v="Pending"/>
    <s v="TRK51648833"/>
    <s v="5"/>
    <s v="No Coupon"/>
    <x v="0"/>
    <n v="84.8"/>
    <n v="67.84"/>
    <n v="16.959999999999994"/>
    <x v="0"/>
  </r>
  <r>
    <s v="ORD200132"/>
    <s v="28/03/2023"/>
    <s v="C96257"/>
    <x v="2"/>
    <s v="4"/>
    <s v="450.75"/>
    <s v="583 Main St"/>
    <s v="Credit Card"/>
    <s v="Shipped"/>
    <s v="TRK13137948"/>
    <s v="6"/>
    <s v="Winter15"/>
    <x v="2"/>
    <n v="1803"/>
    <n v="360.6"/>
    <n v="1442.4"/>
    <x v="9"/>
  </r>
  <r>
    <s v="ORD200133"/>
    <s v="20/06/2025"/>
    <s v="C87432"/>
    <x v="3"/>
    <s v="4"/>
    <s v="302.05"/>
    <s v="636 Main St"/>
    <s v="Debit Card"/>
    <s v="Cancelled"/>
    <s v="TRK68969625"/>
    <s v="6"/>
    <s v="Save10"/>
    <x v="4"/>
    <n v="1208.2"/>
    <n v="241.64000000000001"/>
    <n v="966.56000000000006"/>
    <x v="5"/>
  </r>
  <r>
    <s v="ORD200135"/>
    <s v="04/08/2023"/>
    <s v="C79909"/>
    <x v="4"/>
    <s v="2"/>
    <s v="68.81"/>
    <s v="642 Main St"/>
    <s v="Gift Card"/>
    <s v="Shipped"/>
    <s v="TRK86742257"/>
    <s v="5"/>
    <s v="Save10"/>
    <x v="1"/>
    <n v="137.62"/>
    <n v="55.048000000000002"/>
    <n v="82.572000000000003"/>
    <x v="1"/>
  </r>
  <r>
    <s v="ORD200136"/>
    <s v="27/04/2024"/>
    <s v="C73370"/>
    <x v="5"/>
    <s v="1"/>
    <s v="44.35"/>
    <s v="595 Main St"/>
    <s v="Gift Card"/>
    <s v="Cancelled"/>
    <s v="TRK67820278"/>
    <s v="1"/>
    <s v="Save10"/>
    <x v="0"/>
    <n v="44.35"/>
    <n v="35.480000000000004"/>
    <n v="8.8699999999999974"/>
    <x v="6"/>
  </r>
  <r>
    <s v="ORD200137"/>
    <s v="26/11/2024"/>
    <s v="C50682"/>
    <x v="0"/>
    <s v="2"/>
    <s v="250.98"/>
    <s v="598 Main St"/>
    <s v="Credit Card"/>
    <s v="Delivered"/>
    <s v="TRK12242337"/>
    <s v="5"/>
    <s v="No Coupon"/>
    <x v="4"/>
    <n v="501.96"/>
    <n v="200.78399999999999"/>
    <n v="301.17599999999999"/>
    <x v="7"/>
  </r>
  <r>
    <s v="ORD200138"/>
    <s v="21/12/2023"/>
    <s v="C21905"/>
    <x v="2"/>
    <s v="1"/>
    <s v="298.06"/>
    <s v="478 Main St"/>
    <s v="Debit Card"/>
    <s v="Pending"/>
    <s v="TRK31863841"/>
    <s v="3"/>
    <s v="Winter15"/>
    <x v="4"/>
    <n v="298.06"/>
    <n v="238.44800000000001"/>
    <n v="59.611999999999995"/>
    <x v="8"/>
  </r>
  <r>
    <s v="ORD200139"/>
    <s v="10/04/2023"/>
    <s v="C61440"/>
    <x v="1"/>
    <s v="1"/>
    <s v="583.9"/>
    <s v="714 Main St"/>
    <s v="Cash"/>
    <s v="Returned"/>
    <s v="TRK33114521"/>
    <s v="1"/>
    <s v="No Coupon"/>
    <x v="2"/>
    <n v="583.9"/>
    <n v="467.12"/>
    <n v="116.77999999999997"/>
    <x v="6"/>
  </r>
  <r>
    <s v="ORD200141"/>
    <s v="18/11/2023"/>
    <s v="C80004"/>
    <x v="4"/>
    <s v="3"/>
    <s v="684.14"/>
    <s v="151 Main St"/>
    <s v="Cash"/>
    <s v="Cancelled"/>
    <s v="TRK66230753"/>
    <s v="3"/>
    <s v="Winter15"/>
    <x v="0"/>
    <n v="2052.42"/>
    <n v="547.31200000000001"/>
    <n v="1505.1080000000002"/>
    <x v="7"/>
  </r>
  <r>
    <s v="ORD200142"/>
    <s v="06/09/2023"/>
    <s v="C86374"/>
    <x v="6"/>
    <s v="5"/>
    <s v="272.77"/>
    <s v="573 Main St"/>
    <s v="Cash"/>
    <s v="Pending"/>
    <s v="TRK79451491"/>
    <s v="7"/>
    <s v="Winter15"/>
    <x v="2"/>
    <n v="1363.85"/>
    <n v="218.21599999999998"/>
    <n v="1145.634"/>
    <x v="11"/>
  </r>
  <r>
    <s v="ORD200143"/>
    <s v="13/06/2024"/>
    <s v="C66521"/>
    <x v="3"/>
    <s v="4"/>
    <s v="400.07"/>
    <s v="933 Main St"/>
    <s v="Online"/>
    <s v="Shipped"/>
    <s v="TRK34654244"/>
    <s v="5"/>
    <s v="No Coupon"/>
    <x v="1"/>
    <n v="1600.28"/>
    <n v="320.05599999999998"/>
    <n v="1280.2239999999999"/>
    <x v="5"/>
  </r>
  <r>
    <s v="ORD200146"/>
    <s v="30/04/2025"/>
    <s v="C84645"/>
    <x v="2"/>
    <s v="2"/>
    <s v="411.49"/>
    <s v="404 Main St"/>
    <s v="Credit Card"/>
    <s v="Returned"/>
    <s v="TRK68893369"/>
    <s v="4"/>
    <s v="No Coupon"/>
    <x v="0"/>
    <n v="822.98"/>
    <n v="329.19200000000001"/>
    <n v="493.78800000000001"/>
    <x v="6"/>
  </r>
  <r>
    <s v="ORD200147"/>
    <s v="06/05/2025"/>
    <s v="C46316"/>
    <x v="5"/>
    <s v="2"/>
    <s v="465.18"/>
    <s v="893 Main St"/>
    <s v="Credit Card"/>
    <s v="Cancelled"/>
    <s v="TRK16196000"/>
    <s v="2"/>
    <s v="Save10"/>
    <x v="4"/>
    <n v="930.36"/>
    <n v="372.14400000000001"/>
    <n v="558.21600000000001"/>
    <x v="4"/>
  </r>
  <r>
    <s v="ORD200148"/>
    <s v="15/12/2024"/>
    <s v="C35100"/>
    <x v="1"/>
    <s v="2"/>
    <s v="319.91"/>
    <s v="139 Main St"/>
    <s v="Credit Card"/>
    <s v="Cancelled"/>
    <s v="TRK56853491"/>
    <s v="3"/>
    <s v="Winter15"/>
    <x v="4"/>
    <n v="639.82000000000005"/>
    <n v="255.92800000000003"/>
    <n v="383.89200000000005"/>
    <x v="8"/>
  </r>
  <r>
    <s v="ORD200149"/>
    <s v="27/12/2023"/>
    <s v="C39671"/>
    <x v="5"/>
    <s v="1"/>
    <s v="217.56"/>
    <s v="174 Main St"/>
    <s v="Debit Card"/>
    <s v="Delivered"/>
    <s v="TRK47153818"/>
    <s v="3"/>
    <s v="No Coupon"/>
    <x v="3"/>
    <n v="217.56"/>
    <n v="174.048"/>
    <n v="43.512"/>
    <x v="8"/>
  </r>
  <r>
    <s v="ORD200150"/>
    <s v="13/12/2023"/>
    <s v="C25503"/>
    <x v="1"/>
    <s v="2"/>
    <s v="105.57"/>
    <s v="981 Main St"/>
    <s v="Debit Card"/>
    <s v="Returned"/>
    <s v="TRK29878837"/>
    <s v="5"/>
    <s v="Winter15"/>
    <x v="4"/>
    <n v="211.14"/>
    <n v="84.455999999999989"/>
    <n v="126.684"/>
    <x v="8"/>
  </r>
  <r>
    <s v="ORD200151"/>
    <s v="01/12/2023"/>
    <s v="C32960"/>
    <x v="4"/>
    <s v="5"/>
    <s v="444.76"/>
    <s v="947 Main St"/>
    <s v="Debit Card"/>
    <s v="Returned"/>
    <s v="TRK91226500"/>
    <s v="7"/>
    <s v="No Coupon"/>
    <x v="2"/>
    <n v="2223.8000000000002"/>
    <n v="355.80799999999999"/>
    <n v="1867.9920000000002"/>
    <x v="8"/>
  </r>
  <r>
    <s v="ORD200152"/>
    <s v="02/01/2025"/>
    <s v="C77736"/>
    <x v="3"/>
    <s v="2"/>
    <s v="399.04"/>
    <s v="659 Main St"/>
    <s v="Cash"/>
    <s v="Cancelled"/>
    <s v="TRK90329250"/>
    <s v="3"/>
    <s v="Freeship"/>
    <x v="1"/>
    <n v="798.08"/>
    <n v="319.23200000000003"/>
    <n v="478.84800000000001"/>
    <x v="0"/>
  </r>
  <r>
    <s v="ORD200153"/>
    <s v="18/12/2024"/>
    <s v="C71570"/>
    <x v="3"/>
    <s v="4"/>
    <s v="534.48"/>
    <s v="437 Main St"/>
    <s v="Online"/>
    <s v="Returned"/>
    <s v="TRK95992269"/>
    <s v="9"/>
    <s v="Winter15"/>
    <x v="0"/>
    <n v="2137.92"/>
    <n v="427.584"/>
    <n v="1710.336"/>
    <x v="8"/>
  </r>
  <r>
    <s v="ORD200156"/>
    <s v="08/11/2024"/>
    <s v="C58808"/>
    <x v="3"/>
    <s v="2"/>
    <s v="269.83"/>
    <s v="651 Main St"/>
    <s v="Online"/>
    <s v="Delivered"/>
    <s v="TRK24451893"/>
    <s v="4"/>
    <s v="Save10"/>
    <x v="2"/>
    <n v="539.66"/>
    <n v="215.86399999999998"/>
    <n v="323.79599999999999"/>
    <x v="7"/>
  </r>
  <r>
    <s v="ORD200158"/>
    <s v="16/05/2024"/>
    <s v="C23334"/>
    <x v="2"/>
    <s v="1"/>
    <s v="331.06"/>
    <s v="737 Main St"/>
    <s v="Credit Card"/>
    <s v="Pending"/>
    <s v="TRK46335144"/>
    <s v="5"/>
    <s v="Winter15"/>
    <x v="0"/>
    <n v="331.06"/>
    <n v="264.84800000000001"/>
    <n v="66.211999999999989"/>
    <x v="4"/>
  </r>
  <r>
    <s v="ORD200159"/>
    <s v="31/10/2023"/>
    <s v="C48965"/>
    <x v="4"/>
    <s v="1"/>
    <s v="299.35"/>
    <s v="819 Main St"/>
    <s v="Credit Card"/>
    <s v="Cancelled"/>
    <s v="TRK50921780"/>
    <s v="5"/>
    <s v="Winter15"/>
    <x v="2"/>
    <n v="299.35000000000002"/>
    <n v="239.48000000000002"/>
    <n v="59.870000000000005"/>
    <x v="3"/>
  </r>
  <r>
    <s v="ORD200164"/>
    <s v="28/12/2023"/>
    <s v="C70566"/>
    <x v="6"/>
    <s v="5"/>
    <s v="536.58"/>
    <s v="667 Main St"/>
    <s v="Gift Card"/>
    <s v="Pending"/>
    <s v="TRK49673411"/>
    <s v="5"/>
    <s v="Save10"/>
    <x v="4"/>
    <n v="2682.9"/>
    <n v="429.26400000000001"/>
    <n v="2253.636"/>
    <x v="8"/>
  </r>
  <r>
    <s v="ORD200165"/>
    <s v="14/09/2024"/>
    <s v="C60355"/>
    <x v="0"/>
    <s v="2"/>
    <s v="500.29"/>
    <s v="226 Main St"/>
    <s v="Online"/>
    <s v="Returned"/>
    <s v="TRK30155194"/>
    <s v="7"/>
    <s v="Winter15"/>
    <x v="4"/>
    <n v="1000.58"/>
    <n v="400.23200000000003"/>
    <n v="600.34799999999996"/>
    <x v="11"/>
  </r>
  <r>
    <s v="ORD200167"/>
    <s v="27/05/2023"/>
    <s v="C88304"/>
    <x v="3"/>
    <s v="2"/>
    <s v="384.14"/>
    <s v="219 Main St"/>
    <s v="Online"/>
    <s v="Returned"/>
    <s v="TRK44268941"/>
    <s v="2"/>
    <s v="Winter15"/>
    <x v="2"/>
    <n v="768.28"/>
    <n v="307.31200000000001"/>
    <n v="460.96799999999996"/>
    <x v="4"/>
  </r>
  <r>
    <s v="ORD200168"/>
    <s v="04/01/2025"/>
    <s v="C49517"/>
    <x v="4"/>
    <s v="1"/>
    <s v="594.96"/>
    <s v="878 Main St"/>
    <s v="Cash"/>
    <s v="Returned"/>
    <s v="TRK78551375"/>
    <s v="6"/>
    <s v="No Coupon"/>
    <x v="3"/>
    <n v="594.96"/>
    <n v="475.96800000000002"/>
    <n v="118.99200000000002"/>
    <x v="0"/>
  </r>
  <r>
    <s v="ORD200169"/>
    <s v="07/04/2024"/>
    <s v="C35785"/>
    <x v="4"/>
    <s v="1"/>
    <s v="427.82"/>
    <s v="732 Main St"/>
    <s v="Online"/>
    <s v="Delivered"/>
    <s v="TRK78923089"/>
    <s v="2"/>
    <s v="Winter15"/>
    <x v="2"/>
    <n v="427.82"/>
    <n v="342.25599999999997"/>
    <n v="85.564000000000021"/>
    <x v="6"/>
  </r>
  <r>
    <s v="ORD200170"/>
    <s v="04/04/2025"/>
    <s v="C80223"/>
    <x v="6"/>
    <s v="4"/>
    <s v="662.94"/>
    <s v="535 Main St"/>
    <s v="Cash"/>
    <s v="Cancelled"/>
    <s v="TRK68632951"/>
    <s v="8"/>
    <s v="Save10"/>
    <x v="0"/>
    <n v="2651.76"/>
    <n v="530.35200000000009"/>
    <n v="2121.4080000000004"/>
    <x v="6"/>
  </r>
  <r>
    <s v="ORD200171"/>
    <s v="15/08/2023"/>
    <s v="C20448"/>
    <x v="2"/>
    <s v="2"/>
    <s v="148.22"/>
    <s v="336 Main St"/>
    <s v="Credit Card"/>
    <s v="Delivered"/>
    <s v="TRK67379895"/>
    <s v="7"/>
    <s v="Winter15"/>
    <x v="0"/>
    <n v="296.44"/>
    <n v="118.57599999999999"/>
    <n v="177.864"/>
    <x v="1"/>
  </r>
  <r>
    <s v="ORD200174"/>
    <s v="16/04/2024"/>
    <s v="C51145"/>
    <x v="4"/>
    <s v="4"/>
    <s v="600.81"/>
    <s v="790 Main St"/>
    <s v="Debit Card"/>
    <s v="Delivered"/>
    <s v="TRK59154274"/>
    <s v="9"/>
    <s v="Save10"/>
    <x v="2"/>
    <n v="2403.2399999999998"/>
    <n v="480.64799999999997"/>
    <n v="1922.5919999999999"/>
    <x v="6"/>
  </r>
  <r>
    <s v="ORD200175"/>
    <s v="08/02/2025"/>
    <s v="C78170"/>
    <x v="3"/>
    <s v="5"/>
    <s v="68.34"/>
    <s v="332 Main St"/>
    <s v="Debit Card"/>
    <s v="Pending"/>
    <s v="TRK71410605"/>
    <s v="6"/>
    <s v="Winter15"/>
    <x v="1"/>
    <n v="341.70000000000005"/>
    <n v="54.672000000000004"/>
    <n v="287.02800000000002"/>
    <x v="2"/>
  </r>
  <r>
    <s v="ORD200176"/>
    <s v="28/06/2025"/>
    <s v="C80151"/>
    <x v="2"/>
    <s v="4"/>
    <s v="430.83"/>
    <s v="553 Main St"/>
    <s v="Gift Card"/>
    <s v="Pending"/>
    <s v="TRK88251529"/>
    <s v="8"/>
    <s v="Winter15"/>
    <x v="1"/>
    <n v="1723.32"/>
    <n v="344.66399999999999"/>
    <n v="1378.6559999999999"/>
    <x v="5"/>
  </r>
  <r>
    <s v="ORD200177"/>
    <s v="05/08/2023"/>
    <s v="C55632"/>
    <x v="3"/>
    <s v="5"/>
    <s v="431.69"/>
    <s v="354 Main St"/>
    <s v="Credit Card"/>
    <s v="Pending"/>
    <s v="TRK13003066"/>
    <s v="10"/>
    <s v="No Coupon"/>
    <x v="3"/>
    <n v="2158.4499999999998"/>
    <n v="345.35199999999998"/>
    <n v="1813.098"/>
    <x v="1"/>
  </r>
  <r>
    <s v="ORD200178"/>
    <s v="11/04/2024"/>
    <s v="C53070"/>
    <x v="3"/>
    <s v="4"/>
    <s v="512.06"/>
    <s v="283 Main St"/>
    <s v="Online"/>
    <s v="Delivered"/>
    <s v="TRK49791755"/>
    <s v="5"/>
    <s v="Save10"/>
    <x v="4"/>
    <n v="2048.2399999999998"/>
    <n v="409.64799999999997"/>
    <n v="1638.5919999999999"/>
    <x v="6"/>
  </r>
  <r>
    <s v="ORD200179"/>
    <s v="24/11/2024"/>
    <s v="C27401"/>
    <x v="5"/>
    <s v="3"/>
    <s v="539.91"/>
    <s v="500 Main St"/>
    <s v="Credit Card"/>
    <s v="Delivered"/>
    <s v="TRK14332053"/>
    <s v="8"/>
    <s v="No Coupon"/>
    <x v="2"/>
    <n v="1619.73"/>
    <n v="431.928"/>
    <n v="1187.8020000000001"/>
    <x v="7"/>
  </r>
  <r>
    <s v="ORD200180"/>
    <s v="18/03/2023"/>
    <s v="C87216"/>
    <x v="2"/>
    <s v="5"/>
    <s v="316.07"/>
    <s v="970 Main St"/>
    <s v="Cash"/>
    <s v="Returned"/>
    <s v="TRK18713727"/>
    <s v="10"/>
    <s v="No Coupon"/>
    <x v="4"/>
    <n v="1580.35"/>
    <n v="252.85599999999999"/>
    <n v="1327.4939999999999"/>
    <x v="9"/>
  </r>
  <r>
    <s v="ORD200181"/>
    <s v="31/08/2024"/>
    <s v="C38966"/>
    <x v="4"/>
    <s v="5"/>
    <s v="404.39"/>
    <s v="247 Main St"/>
    <s v="Online"/>
    <s v="Shipped"/>
    <s v="TRK17205146"/>
    <s v="10"/>
    <s v="No Coupon"/>
    <x v="1"/>
    <n v="2021.9499999999998"/>
    <n v="323.512"/>
    <n v="1698.4379999999999"/>
    <x v="1"/>
  </r>
  <r>
    <s v="ORD200182"/>
    <s v="19/03/2025"/>
    <s v="C16612"/>
    <x v="6"/>
    <s v="1"/>
    <s v="600.54"/>
    <s v="596 Main St"/>
    <s v="Debit Card"/>
    <s v="Pending"/>
    <s v="TRK96188223"/>
    <s v="4"/>
    <s v="Winter15"/>
    <x v="4"/>
    <n v="600.54"/>
    <n v="480.43199999999996"/>
    <n v="120.108"/>
    <x v="9"/>
  </r>
  <r>
    <s v="ORD200183"/>
    <s v="18/04/2024"/>
    <s v="C39246"/>
    <x v="0"/>
    <s v="5"/>
    <s v="186.28"/>
    <s v="258 Main St"/>
    <s v="Debit Card"/>
    <s v="Delivered"/>
    <s v="TRK16658182"/>
    <s v="8"/>
    <s v="Save10"/>
    <x v="2"/>
    <n v="931.4"/>
    <n v="149.024"/>
    <n v="782.37599999999998"/>
    <x v="6"/>
  </r>
  <r>
    <s v="ORD200184"/>
    <s v="04/04/2024"/>
    <s v="C65180"/>
    <x v="2"/>
    <s v="4"/>
    <s v="214.54"/>
    <s v="231 Main St"/>
    <s v="Gift Card"/>
    <s v="Cancelled"/>
    <s v="TRK39255469"/>
    <s v="7"/>
    <s v="No Coupon"/>
    <x v="1"/>
    <n v="858.16"/>
    <n v="171.63200000000001"/>
    <n v="686.52800000000002"/>
    <x v="6"/>
  </r>
  <r>
    <s v="ORD200186"/>
    <s v="07/12/2023"/>
    <s v="C30334"/>
    <x v="1"/>
    <s v="2"/>
    <s v="133.55"/>
    <s v="322 Main St"/>
    <s v="Cash"/>
    <s v="Pending"/>
    <s v="TRK66388885"/>
    <s v="7"/>
    <s v="Freeship"/>
    <x v="3"/>
    <n v="267.10000000000002"/>
    <n v="106.84"/>
    <n v="160.26000000000002"/>
    <x v="8"/>
  </r>
  <r>
    <s v="ORD200187"/>
    <s v="08/02/2023"/>
    <s v="C21227"/>
    <x v="3"/>
    <s v="1"/>
    <s v="590.87"/>
    <s v="689 Main St"/>
    <s v="Gift Card"/>
    <s v="Returned"/>
    <s v="TRK79129657"/>
    <s v="6"/>
    <s v="Freeship"/>
    <x v="1"/>
    <n v="590.87"/>
    <n v="472.69600000000003"/>
    <n v="118.17399999999998"/>
    <x v="2"/>
  </r>
  <r>
    <s v="ORD200188"/>
    <s v="15/03/2025"/>
    <s v="C97715"/>
    <x v="3"/>
    <s v="2"/>
    <s v="363.91"/>
    <s v="927 Main St"/>
    <s v="Gift Card"/>
    <s v="Shipped"/>
    <s v="TRK19515949"/>
    <s v="2"/>
    <s v="Freeship"/>
    <x v="1"/>
    <n v="727.82"/>
    <n v="291.12800000000004"/>
    <n v="436.69200000000001"/>
    <x v="9"/>
  </r>
  <r>
    <s v="ORD200189"/>
    <s v="05/07/2023"/>
    <s v="C48939"/>
    <x v="4"/>
    <s v="5"/>
    <s v="429.45"/>
    <s v="597 Main St"/>
    <s v="Gift Card"/>
    <s v="Cancelled"/>
    <s v="TRK62786764"/>
    <s v="5"/>
    <s v="Winter15"/>
    <x v="2"/>
    <n v="2147.25"/>
    <n v="343.56"/>
    <n v="1803.69"/>
    <x v="10"/>
  </r>
  <r>
    <s v="ORD200191"/>
    <s v="08/03/2025"/>
    <s v="C51494"/>
    <x v="5"/>
    <s v="2"/>
    <s v="488.87"/>
    <s v="505 Main St"/>
    <s v="Online"/>
    <s v="Cancelled"/>
    <s v="TRK58520306"/>
    <s v="4"/>
    <s v="Freeship"/>
    <x v="4"/>
    <n v="977.74"/>
    <n v="391.096"/>
    <n v="586.64400000000001"/>
    <x v="9"/>
  </r>
  <r>
    <s v="ORD200193"/>
    <s v="21/07/2023"/>
    <s v="C11644"/>
    <x v="4"/>
    <s v="1"/>
    <s v="46.66"/>
    <s v="429 Main St"/>
    <s v="Cash"/>
    <s v="Cancelled"/>
    <s v="TRK81320339"/>
    <s v="6"/>
    <s v="No Coupon"/>
    <x v="4"/>
    <n v="46.66"/>
    <n v="37.327999999999996"/>
    <n v="9.3320000000000007"/>
    <x v="10"/>
  </r>
  <r>
    <s v="ORD200194"/>
    <s v="08/06/2024"/>
    <s v="C53501"/>
    <x v="0"/>
    <s v="1"/>
    <s v="249.57"/>
    <s v="899 Main St"/>
    <s v="Cash"/>
    <s v="Shipped"/>
    <s v="TRK90144892"/>
    <s v="3"/>
    <s v="Freeship"/>
    <x v="4"/>
    <n v="249.57"/>
    <n v="199.65600000000001"/>
    <n v="49.913999999999987"/>
    <x v="5"/>
  </r>
  <r>
    <s v="ORD200195"/>
    <s v="22/04/2024"/>
    <s v="C63619"/>
    <x v="3"/>
    <s v="3"/>
    <s v="619.21"/>
    <s v="801 Main St"/>
    <s v="Debit Card"/>
    <s v="Cancelled"/>
    <s v="TRK65385674"/>
    <s v="6"/>
    <s v="No Coupon"/>
    <x v="2"/>
    <n v="1857.63"/>
    <n v="495.36800000000005"/>
    <n v="1362.2620000000002"/>
    <x v="6"/>
  </r>
  <r>
    <s v="ORD200196"/>
    <s v="24/01/2025"/>
    <s v="C40882"/>
    <x v="6"/>
    <s v="4"/>
    <s v="217.13"/>
    <s v="719 Main St"/>
    <s v="Cash"/>
    <s v="Delivered"/>
    <s v="TRK64165503"/>
    <s v="8"/>
    <s v="Winter15"/>
    <x v="2"/>
    <n v="868.52"/>
    <n v="173.70400000000001"/>
    <n v="694.81600000000003"/>
    <x v="0"/>
  </r>
  <r>
    <s v="ORD200197"/>
    <s v="27/08/2023"/>
    <s v="C80135"/>
    <x v="5"/>
    <s v="5"/>
    <s v="221.51"/>
    <s v="723 Main St"/>
    <s v="Cash"/>
    <s v="Returned"/>
    <s v="TRK95222269"/>
    <s v="5"/>
    <s v="Winter15"/>
    <x v="1"/>
    <n v="1107.55"/>
    <n v="177.208"/>
    <n v="930.34199999999998"/>
    <x v="1"/>
  </r>
  <r>
    <s v="ORD200199"/>
    <s v="23/01/2025"/>
    <s v="C87524"/>
    <x v="1"/>
    <s v="1"/>
    <s v="625"/>
    <s v="358 Main St"/>
    <s v="Online"/>
    <s v="Returned"/>
    <s v="TRK21114341"/>
    <s v="5"/>
    <s v="Winter15"/>
    <x v="4"/>
    <n v="625"/>
    <n v="500"/>
    <n v="125"/>
    <x v="0"/>
  </r>
  <r>
    <s v="ORD200205"/>
    <s v="04/03/2023"/>
    <s v="C19266"/>
    <x v="6"/>
    <s v="3"/>
    <s v="147.39"/>
    <s v="609 Main St"/>
    <s v="Debit Card"/>
    <s v="Returned"/>
    <s v="TRK58357269"/>
    <s v="3"/>
    <s v="No Coupon"/>
    <x v="2"/>
    <n v="442.16999999999996"/>
    <n v="117.91199999999999"/>
    <n v="324.25799999999998"/>
    <x v="9"/>
  </r>
  <r>
    <s v="ORD200207"/>
    <s v="18/03/2025"/>
    <s v="C54595"/>
    <x v="1"/>
    <s v="1"/>
    <s v="121.96"/>
    <s v="999 Main St"/>
    <s v="Debit Card"/>
    <s v="Delivered"/>
    <s v="TRK44416659"/>
    <s v="3"/>
    <s v="No Coupon"/>
    <x v="4"/>
    <n v="121.96"/>
    <n v="97.567999999999998"/>
    <n v="24.391999999999996"/>
    <x v="9"/>
  </r>
  <r>
    <s v="ORD200211"/>
    <s v="03/01/2025"/>
    <s v="C54390"/>
    <x v="4"/>
    <s v="3"/>
    <s v="193.58"/>
    <s v="185 Main St"/>
    <s v="Gift Card"/>
    <s v="Pending"/>
    <s v="TRK83853742"/>
    <s v="7"/>
    <s v="Freeship"/>
    <x v="2"/>
    <n v="580.74"/>
    <n v="154.864"/>
    <n v="425.87599999999998"/>
    <x v="0"/>
  </r>
  <r>
    <s v="ORD200212"/>
    <s v="20/06/2023"/>
    <s v="C53215"/>
    <x v="0"/>
    <s v="1"/>
    <s v="265.38"/>
    <s v="367 Main St"/>
    <s v="Credit Card"/>
    <s v="Cancelled"/>
    <s v="TRK34751835"/>
    <s v="6"/>
    <s v="Winter15"/>
    <x v="2"/>
    <n v="265.38"/>
    <n v="212.304"/>
    <n v="53.075999999999993"/>
    <x v="5"/>
  </r>
  <r>
    <s v="ORD200213"/>
    <s v="20/04/2023"/>
    <s v="C71122"/>
    <x v="5"/>
    <s v="1"/>
    <s v="634.4"/>
    <s v="317 Main St"/>
    <s v="Cash"/>
    <s v="Cancelled"/>
    <s v="TRK54757882"/>
    <s v="6"/>
    <s v="Save10"/>
    <x v="2"/>
    <n v="634.4"/>
    <n v="507.52"/>
    <n v="126.88"/>
    <x v="6"/>
  </r>
  <r>
    <s v="ORD200217"/>
    <s v="20/05/2024"/>
    <s v="C61549"/>
    <x v="6"/>
    <s v="4"/>
    <s v="321.51"/>
    <s v="908 Main St"/>
    <s v="Cash"/>
    <s v="Returned"/>
    <s v="TRK65596914"/>
    <s v="9"/>
    <s v="No Coupon"/>
    <x v="4"/>
    <n v="1286.04"/>
    <n v="257.20799999999997"/>
    <n v="1028.8319999999999"/>
    <x v="4"/>
  </r>
  <r>
    <s v="ORD200218"/>
    <s v="28/04/2023"/>
    <s v="C11665"/>
    <x v="2"/>
    <s v="3"/>
    <s v="112.46"/>
    <s v="882 Main St"/>
    <s v="Gift Card"/>
    <s v="Shipped"/>
    <s v="TRK10993930"/>
    <s v="6"/>
    <s v="Save10"/>
    <x v="0"/>
    <n v="337.38"/>
    <n v="89.967999999999989"/>
    <n v="247.41200000000001"/>
    <x v="6"/>
  </r>
  <r>
    <s v="ORD200219"/>
    <s v="02/05/2025"/>
    <s v="C48946"/>
    <x v="5"/>
    <s v="5"/>
    <s v="61.97"/>
    <s v="457 Main St"/>
    <s v="Cash"/>
    <s v="Delivered"/>
    <s v="TRK99387220"/>
    <s v="6"/>
    <s v="Save10"/>
    <x v="2"/>
    <n v="309.85000000000002"/>
    <n v="49.576000000000001"/>
    <n v="260.274"/>
    <x v="4"/>
  </r>
  <r>
    <s v="ORD200220"/>
    <s v="18/07/2023"/>
    <s v="C79506"/>
    <x v="5"/>
    <s v="2"/>
    <s v="373.17"/>
    <s v="497 Main St"/>
    <s v="Credit Card"/>
    <s v="Pending"/>
    <s v="TRK95188748"/>
    <s v="6"/>
    <s v="Save10"/>
    <x v="1"/>
    <n v="746.34"/>
    <n v="298.536"/>
    <n v="447.80400000000003"/>
    <x v="10"/>
  </r>
  <r>
    <s v="ORD200222"/>
    <s v="04/05/2023"/>
    <s v="C43124"/>
    <x v="3"/>
    <s v="4"/>
    <s v="693.36"/>
    <s v="931 Main St"/>
    <s v="Online"/>
    <s v="Shipped"/>
    <s v="TRK17293348"/>
    <s v="8"/>
    <s v="No Coupon"/>
    <x v="0"/>
    <n v="2773.44"/>
    <n v="554.68799999999999"/>
    <n v="2218.752"/>
    <x v="4"/>
  </r>
  <r>
    <s v="ORD200224"/>
    <s v="23/09/2023"/>
    <s v="C18567"/>
    <x v="4"/>
    <s v="4"/>
    <s v="91.46"/>
    <s v="507 Main St"/>
    <s v="Cash"/>
    <s v="Cancelled"/>
    <s v="TRK17554673"/>
    <s v="9"/>
    <s v="Save10"/>
    <x v="1"/>
    <n v="365.84"/>
    <n v="73.167999999999992"/>
    <n v="292.67199999999997"/>
    <x v="11"/>
  </r>
  <r>
    <s v="ORD200225"/>
    <s v="13/03/2024"/>
    <s v="C99879"/>
    <x v="1"/>
    <s v="3"/>
    <s v="273.96"/>
    <s v="692 Main St"/>
    <s v="Debit Card"/>
    <s v="Returned"/>
    <s v="TRK50246700"/>
    <s v="8"/>
    <s v="Save10"/>
    <x v="4"/>
    <n v="821.87999999999988"/>
    <n v="219.16799999999998"/>
    <n v="602.71199999999988"/>
    <x v="9"/>
  </r>
  <r>
    <s v="ORD200226"/>
    <s v="27/06/2025"/>
    <s v="C31501"/>
    <x v="6"/>
    <s v="3"/>
    <s v="588.05"/>
    <s v="242 Main St"/>
    <s v="Gift Card"/>
    <s v="Delivered"/>
    <s v="TRK93063929"/>
    <s v="8"/>
    <s v="No Coupon"/>
    <x v="0"/>
    <n v="1764.1499999999999"/>
    <n v="470.43999999999994"/>
    <n v="1293.71"/>
    <x v="5"/>
  </r>
  <r>
    <s v="ORD200228"/>
    <s v="17/05/2023"/>
    <s v="C57867"/>
    <x v="3"/>
    <s v="4"/>
    <s v="385.92"/>
    <s v="579 Main St"/>
    <s v="Credit Card"/>
    <s v="Cancelled"/>
    <s v="TRK92055007"/>
    <s v="8"/>
    <s v="No Coupon"/>
    <x v="0"/>
    <n v="1543.68"/>
    <n v="308.73599999999999"/>
    <n v="1234.944"/>
    <x v="4"/>
  </r>
  <r>
    <s v="ORD200229"/>
    <s v="28/03/2025"/>
    <s v="C62622"/>
    <x v="2"/>
    <s v="1"/>
    <s v="562.61"/>
    <s v="762 Main St"/>
    <s v="Credit Card"/>
    <s v="Delivered"/>
    <s v="TRK70997648"/>
    <s v="3"/>
    <s v="Winter15"/>
    <x v="3"/>
    <n v="562.61"/>
    <n v="450.08800000000002"/>
    <n v="112.52199999999999"/>
    <x v="9"/>
  </r>
  <r>
    <s v="ORD200230"/>
    <s v="16/12/2023"/>
    <s v="C94595"/>
    <x v="6"/>
    <s v="4"/>
    <s v="61.91"/>
    <s v="948 Main St"/>
    <s v="Gift Card"/>
    <s v="Delivered"/>
    <s v="TRK24497305"/>
    <s v="6"/>
    <s v="Winter15"/>
    <x v="2"/>
    <n v="247.64"/>
    <n v="49.527999999999999"/>
    <n v="198.11199999999999"/>
    <x v="8"/>
  </r>
  <r>
    <s v="ORD200231"/>
    <s v="05/11/2023"/>
    <s v="C30955"/>
    <x v="1"/>
    <s v="4"/>
    <s v="41.9"/>
    <s v="327 Main St"/>
    <s v="Gift Card"/>
    <s v="Pending"/>
    <s v="TRK46898848"/>
    <s v="9"/>
    <s v="Freeship"/>
    <x v="0"/>
    <n v="167.6"/>
    <n v="33.519999999999996"/>
    <n v="134.07999999999998"/>
    <x v="7"/>
  </r>
  <r>
    <s v="ORD200232"/>
    <s v="19/05/2023"/>
    <s v="C20731"/>
    <x v="4"/>
    <s v="4"/>
    <s v="444.44"/>
    <s v="610 Main St"/>
    <s v="Debit Card"/>
    <s v="Cancelled"/>
    <s v="TRK75568437"/>
    <s v="8"/>
    <s v="Winter15"/>
    <x v="4"/>
    <n v="1777.76"/>
    <n v="355.55200000000002"/>
    <n v="1422.2080000000001"/>
    <x v="4"/>
  </r>
  <r>
    <s v="ORD200235"/>
    <s v="20/02/2023"/>
    <s v="C32854"/>
    <x v="6"/>
    <s v="1"/>
    <s v="65.45"/>
    <s v="815 Main St"/>
    <s v="Cash"/>
    <s v="Pending"/>
    <s v="TRK30009218"/>
    <s v="2"/>
    <s v="Winter15"/>
    <x v="4"/>
    <n v="65.45"/>
    <n v="52.36"/>
    <n v="13.090000000000003"/>
    <x v="2"/>
  </r>
  <r>
    <s v="ORD200237"/>
    <s v="14/03/2024"/>
    <s v="C88645"/>
    <x v="0"/>
    <s v="3"/>
    <s v="583.72"/>
    <s v="783 Main St"/>
    <s v="Credit Card"/>
    <s v="Shipped"/>
    <s v="TRK74097570"/>
    <s v="5"/>
    <s v="Freeship"/>
    <x v="3"/>
    <n v="1751.16"/>
    <n v="466.976"/>
    <n v="1284.1840000000002"/>
    <x v="9"/>
  </r>
  <r>
    <s v="ORD200238"/>
    <s v="13/12/2024"/>
    <s v="C66149"/>
    <x v="6"/>
    <s v="4"/>
    <s v="384.32"/>
    <s v="770 Main St"/>
    <s v="Credit Card"/>
    <s v="Pending"/>
    <s v="TRK76307307"/>
    <s v="6"/>
    <s v="Winter15"/>
    <x v="4"/>
    <n v="1537.28"/>
    <n v="307.45600000000002"/>
    <n v="1229.8240000000001"/>
    <x v="8"/>
  </r>
  <r>
    <s v="ORD200239"/>
    <s v="11/12/2024"/>
    <s v="C20256"/>
    <x v="2"/>
    <s v="3"/>
    <s v="538.74"/>
    <s v="456 Main St"/>
    <s v="Online"/>
    <s v="Shipped"/>
    <s v="TRK71127943"/>
    <s v="6"/>
    <s v="Freeship"/>
    <x v="2"/>
    <n v="1616.22"/>
    <n v="430.99200000000002"/>
    <n v="1185.2280000000001"/>
    <x v="8"/>
  </r>
  <r>
    <s v="ORD200240"/>
    <s v="12/07/2023"/>
    <s v="C14983"/>
    <x v="2"/>
    <s v="1"/>
    <s v="17.24"/>
    <s v="255 Main St"/>
    <s v="Online"/>
    <s v="Pending"/>
    <s v="TRK93444157"/>
    <s v="2"/>
    <s v="Freeship"/>
    <x v="0"/>
    <n v="17.239999999999998"/>
    <n v="13.791999999999998"/>
    <n v="3.4480000000000004"/>
    <x v="10"/>
  </r>
  <r>
    <s v="ORD200241"/>
    <s v="16/05/2023"/>
    <s v="C20817"/>
    <x v="3"/>
    <s v="5"/>
    <s v="615.67"/>
    <s v="407 Main St"/>
    <s v="Online"/>
    <s v="Pending"/>
    <s v="TRK44164590"/>
    <s v="6"/>
    <s v="Save10"/>
    <x v="2"/>
    <n v="3078.35"/>
    <n v="492.53599999999994"/>
    <n v="2585.8139999999999"/>
    <x v="4"/>
  </r>
  <r>
    <s v="ORD200242"/>
    <s v="09/05/2023"/>
    <s v="C94921"/>
    <x v="4"/>
    <s v="2"/>
    <s v="219.1"/>
    <s v="134 Main St"/>
    <s v="Online"/>
    <s v="Pending"/>
    <s v="TRK97794327"/>
    <s v="4"/>
    <s v="Save10"/>
    <x v="1"/>
    <n v="438.2"/>
    <n v="175.28"/>
    <n v="262.91999999999996"/>
    <x v="4"/>
  </r>
  <r>
    <s v="ORD200243"/>
    <s v="09/05/2025"/>
    <s v="C54725"/>
    <x v="3"/>
    <s v="2"/>
    <s v="144.66"/>
    <s v="506 Main St"/>
    <s v="Online"/>
    <s v="Cancelled"/>
    <s v="TRK30601940"/>
    <s v="7"/>
    <s v="Freeship"/>
    <x v="4"/>
    <n v="289.32"/>
    <n v="115.72799999999999"/>
    <n v="173.59199999999998"/>
    <x v="4"/>
  </r>
  <r>
    <s v="ORD200244"/>
    <s v="16/02/2023"/>
    <s v="C98096"/>
    <x v="6"/>
    <s v="2"/>
    <s v="317.77"/>
    <s v="838 Main St"/>
    <s v="Debit Card"/>
    <s v="Cancelled"/>
    <s v="TRK51518631"/>
    <s v="4"/>
    <s v="Winter15"/>
    <x v="3"/>
    <n v="635.54"/>
    <n v="254.21599999999998"/>
    <n v="381.32399999999996"/>
    <x v="2"/>
  </r>
  <r>
    <s v="ORD200245"/>
    <s v="20/04/2025"/>
    <s v="C12667"/>
    <x v="5"/>
    <s v="1"/>
    <s v="223.3"/>
    <s v="306 Main St"/>
    <s v="Online"/>
    <s v="Returned"/>
    <s v="TRK25390491"/>
    <s v="1"/>
    <s v="No Coupon"/>
    <x v="3"/>
    <n v="223.3"/>
    <n v="178.64000000000001"/>
    <n v="44.66"/>
    <x v="6"/>
  </r>
  <r>
    <s v="ORD200246"/>
    <s v="30/08/2024"/>
    <s v="C55354"/>
    <x v="6"/>
    <s v="2"/>
    <s v="342.11"/>
    <s v="164 Main St"/>
    <s v="Gift Card"/>
    <s v="Shipped"/>
    <s v="TRK15439493"/>
    <s v="2"/>
    <s v="Winter15"/>
    <x v="0"/>
    <n v="684.22"/>
    <n v="273.68799999999999"/>
    <n v="410.53200000000004"/>
    <x v="1"/>
  </r>
  <r>
    <s v="ORD200248"/>
    <s v="02/07/2023"/>
    <s v="C97187"/>
    <x v="5"/>
    <s v="1"/>
    <s v="670.54"/>
    <s v="471 Main St"/>
    <s v="Cash"/>
    <s v="Shipped"/>
    <s v="TRK62283713"/>
    <s v="6"/>
    <s v="Freeship"/>
    <x v="1"/>
    <n v="670.54"/>
    <n v="536.43200000000002"/>
    <n v="134.10799999999995"/>
    <x v="10"/>
  </r>
  <r>
    <s v="ORD200249"/>
    <s v="07/02/2024"/>
    <s v="C39106"/>
    <x v="4"/>
    <s v="1"/>
    <s v="546.19"/>
    <s v="245 Main St"/>
    <s v="Cash"/>
    <s v="Pending"/>
    <s v="TRK35464433"/>
    <s v="5"/>
    <s v="Freeship"/>
    <x v="1"/>
    <n v="546.19000000000005"/>
    <n v="436.95200000000006"/>
    <n v="109.238"/>
    <x v="2"/>
  </r>
  <r>
    <s v="ORD200251"/>
    <s v="15/05/2025"/>
    <s v="C93175"/>
    <x v="0"/>
    <s v="4"/>
    <s v="14.69"/>
    <s v="814 Main St"/>
    <s v="Cash"/>
    <s v="Cancelled"/>
    <s v="TRK32995144"/>
    <s v="9"/>
    <s v="No Coupon"/>
    <x v="2"/>
    <n v="58.76"/>
    <n v="11.751999999999999"/>
    <n v="47.007999999999996"/>
    <x v="4"/>
  </r>
  <r>
    <s v="ORD200255"/>
    <s v="13/05/2024"/>
    <s v="C47283"/>
    <x v="0"/>
    <s v="1"/>
    <s v="263.96"/>
    <s v="806 Main St"/>
    <s v="Gift Card"/>
    <s v="Returned"/>
    <s v="TRK56235117"/>
    <s v="2"/>
    <s v="Save10"/>
    <x v="4"/>
    <n v="263.95999999999998"/>
    <n v="211.16799999999998"/>
    <n v="52.792000000000002"/>
    <x v="4"/>
  </r>
  <r>
    <s v="ORD200256"/>
    <s v="30/06/2025"/>
    <s v="C94323"/>
    <x v="3"/>
    <s v="5"/>
    <s v="75.81"/>
    <s v="463 Main St"/>
    <s v="Gift Card"/>
    <s v="Returned"/>
    <s v="TRK22663277"/>
    <s v="10"/>
    <s v="Winter15"/>
    <x v="0"/>
    <n v="379.05"/>
    <n v="60.648000000000003"/>
    <n v="318.40199999999999"/>
    <x v="5"/>
  </r>
  <r>
    <s v="ORD200257"/>
    <s v="23/04/2024"/>
    <s v="C89732"/>
    <x v="1"/>
    <s v="1"/>
    <s v="406.22"/>
    <s v="712 Main St"/>
    <s v="Credit Card"/>
    <s v="Cancelled"/>
    <s v="TRK41059233"/>
    <s v="5"/>
    <s v="Save10"/>
    <x v="1"/>
    <n v="406.22"/>
    <n v="324.976"/>
    <n v="81.244000000000028"/>
    <x v="6"/>
  </r>
  <r>
    <s v="ORD200258"/>
    <s v="26/02/2024"/>
    <s v="C87764"/>
    <x v="2"/>
    <s v="2"/>
    <s v="103.41"/>
    <s v="294 Main St"/>
    <s v="Online"/>
    <s v="Shipped"/>
    <s v="TRK94082469"/>
    <s v="2"/>
    <s v="Freeship"/>
    <x v="1"/>
    <n v="206.82"/>
    <n v="82.727999999999994"/>
    <n v="124.092"/>
    <x v="2"/>
  </r>
  <r>
    <s v="ORD200261"/>
    <s v="28/05/2025"/>
    <s v="C68976"/>
    <x v="1"/>
    <s v="5"/>
    <s v="173.65"/>
    <s v="460 Main St"/>
    <s v="Gift Card"/>
    <s v="Delivered"/>
    <s v="TRK25491356"/>
    <s v="9"/>
    <s v="Save10"/>
    <x v="2"/>
    <n v="868.25"/>
    <n v="138.92000000000002"/>
    <n v="729.32999999999993"/>
    <x v="4"/>
  </r>
  <r>
    <s v="ORD200263"/>
    <s v="25/03/2023"/>
    <s v="C71040"/>
    <x v="1"/>
    <s v="4"/>
    <s v="434.85"/>
    <s v="250 Main St"/>
    <s v="Credit Card"/>
    <s v="Pending"/>
    <s v="TRK41397604"/>
    <s v="4"/>
    <s v="Winter15"/>
    <x v="4"/>
    <n v="1739.4"/>
    <n v="347.88"/>
    <n v="1391.52"/>
    <x v="9"/>
  </r>
  <r>
    <s v="ORD200264"/>
    <s v="03/08/2024"/>
    <s v="C71035"/>
    <x v="2"/>
    <s v="1"/>
    <s v="436.77"/>
    <s v="977 Main St"/>
    <s v="Cash"/>
    <s v="Returned"/>
    <s v="TRK19599578"/>
    <s v="5"/>
    <s v="Freeship"/>
    <x v="4"/>
    <n v="436.77"/>
    <n v="349.416"/>
    <n v="87.353999999999985"/>
    <x v="1"/>
  </r>
  <r>
    <s v="ORD200265"/>
    <s v="22/12/2023"/>
    <s v="C20752"/>
    <x v="4"/>
    <s v="1"/>
    <s v="572.13"/>
    <s v="150 Main St"/>
    <s v="Debit Card"/>
    <s v="Cancelled"/>
    <s v="TRK22298450"/>
    <s v="4"/>
    <s v="Save10"/>
    <x v="4"/>
    <n v="572.13"/>
    <n v="457.70400000000001"/>
    <n v="114.42599999999999"/>
    <x v="8"/>
  </r>
  <r>
    <s v="ORD200267"/>
    <s v="17/04/2025"/>
    <s v="C84480"/>
    <x v="3"/>
    <s v="5"/>
    <s v="468.51"/>
    <s v="803 Main St"/>
    <s v="Debit Card"/>
    <s v="Delivered"/>
    <s v="TRK62361867"/>
    <s v="9"/>
    <s v="No Coupon"/>
    <x v="3"/>
    <n v="2342.5500000000002"/>
    <n v="374.80799999999999"/>
    <n v="1967.7420000000002"/>
    <x v="6"/>
  </r>
  <r>
    <s v="ORD200270"/>
    <s v="04/06/2023"/>
    <s v="C13540"/>
    <x v="4"/>
    <s v="4"/>
    <s v="309.91"/>
    <s v="127 Main St"/>
    <s v="Debit Card"/>
    <s v="Shipped"/>
    <s v="TRK81087373"/>
    <s v="5"/>
    <s v="Winter15"/>
    <x v="4"/>
    <n v="1239.6400000000001"/>
    <n v="247.92800000000003"/>
    <n v="991.7120000000001"/>
    <x v="5"/>
  </r>
  <r>
    <s v="ORD200272"/>
    <s v="19/09/2023"/>
    <s v="C29758"/>
    <x v="3"/>
    <s v="2"/>
    <s v="399.32"/>
    <s v="119 Main St"/>
    <s v="Online"/>
    <s v="Pending"/>
    <s v="TRK12990043"/>
    <s v="6"/>
    <s v="Winter15"/>
    <x v="0"/>
    <n v="798.64"/>
    <n v="319.45600000000002"/>
    <n v="479.18399999999997"/>
    <x v="11"/>
  </r>
  <r>
    <s v="ORD200273"/>
    <s v="27/10/2024"/>
    <s v="C11849"/>
    <x v="2"/>
    <s v="2"/>
    <s v="238.25"/>
    <s v="974 Main St"/>
    <s v="Online"/>
    <s v="Cancelled"/>
    <s v="TRK91195261"/>
    <s v="7"/>
    <s v="Freeship"/>
    <x v="2"/>
    <n v="476.5"/>
    <n v="190.6"/>
    <n v="285.89999999999998"/>
    <x v="3"/>
  </r>
  <r>
    <s v="ORD200274"/>
    <s v="04/02/2023"/>
    <s v="C50967"/>
    <x v="1"/>
    <s v="2"/>
    <s v="182.4"/>
    <s v="884 Main St"/>
    <s v="Gift Card"/>
    <s v="Cancelled"/>
    <s v="TRK65300814"/>
    <s v="5"/>
    <s v="Save10"/>
    <x v="1"/>
    <n v="364.8"/>
    <n v="145.92000000000002"/>
    <n v="218.88"/>
    <x v="2"/>
  </r>
  <r>
    <s v="ORD200275"/>
    <s v="04/11/2023"/>
    <s v="C80735"/>
    <x v="3"/>
    <s v="2"/>
    <s v="65.07"/>
    <s v="360 Main St"/>
    <s v="Credit Card"/>
    <s v="Cancelled"/>
    <s v="TRK99880231"/>
    <s v="4"/>
    <s v="Save10"/>
    <x v="4"/>
    <n v="130.13999999999999"/>
    <n v="52.055999999999997"/>
    <n v="78.083999999999989"/>
    <x v="7"/>
  </r>
  <r>
    <s v="ORD200276"/>
    <s v="29/03/2025"/>
    <s v="C99050"/>
    <x v="4"/>
    <s v="2"/>
    <s v="600.57"/>
    <s v="654 Main St"/>
    <s v="Debit Card"/>
    <s v="Returned"/>
    <s v="TRK56927089"/>
    <s v="3"/>
    <s v="Winter15"/>
    <x v="0"/>
    <n v="1201.1400000000001"/>
    <n v="480.45600000000002"/>
    <n v="720.68400000000008"/>
    <x v="9"/>
  </r>
  <r>
    <s v="ORD200278"/>
    <s v="18/11/2024"/>
    <s v="C46015"/>
    <x v="5"/>
    <s v="5"/>
    <s v="362.46"/>
    <s v="299 Main St"/>
    <s v="Cash"/>
    <s v="Delivered"/>
    <s v="TRK46598430"/>
    <s v="6"/>
    <s v="Freeship"/>
    <x v="0"/>
    <n v="1812.3"/>
    <n v="289.96799999999996"/>
    <n v="1522.3319999999999"/>
    <x v="7"/>
  </r>
  <r>
    <s v="ORD200279"/>
    <s v="20/10/2023"/>
    <s v="C69167"/>
    <x v="3"/>
    <s v="3"/>
    <s v="55.01"/>
    <s v="263 Main St"/>
    <s v="Online"/>
    <s v="Pending"/>
    <s v="TRK12425655"/>
    <s v="7"/>
    <s v="Winter15"/>
    <x v="2"/>
    <n v="165.03"/>
    <n v="44.007999999999996"/>
    <n v="121.02200000000001"/>
    <x v="3"/>
  </r>
  <r>
    <s v="ORD200282"/>
    <s v="22/04/2025"/>
    <s v="C30411"/>
    <x v="4"/>
    <s v="4"/>
    <s v="637.79"/>
    <s v="375 Main St"/>
    <s v="Gift Card"/>
    <s v="Cancelled"/>
    <s v="TRK71810536"/>
    <s v="9"/>
    <s v="Freeship"/>
    <x v="4"/>
    <n v="2551.16"/>
    <n v="510.23199999999997"/>
    <n v="2040.9279999999999"/>
    <x v="6"/>
  </r>
  <r>
    <s v="ORD200283"/>
    <s v="28/02/2025"/>
    <s v="C39638"/>
    <x v="5"/>
    <s v="4"/>
    <s v="540.33"/>
    <s v="990 Main St"/>
    <s v="Cash"/>
    <s v="Shipped"/>
    <s v="TRK69745608"/>
    <s v="6"/>
    <s v="No Coupon"/>
    <x v="4"/>
    <n v="2161.3200000000002"/>
    <n v="432.26400000000001"/>
    <n v="1729.056"/>
    <x v="2"/>
  </r>
  <r>
    <s v="ORD200287"/>
    <s v="24/11/2023"/>
    <s v="C70437"/>
    <x v="3"/>
    <s v="4"/>
    <s v="655.18"/>
    <s v="630 Main St"/>
    <s v="Online"/>
    <s v="Shipped"/>
    <s v="TRK26628830"/>
    <s v="5"/>
    <s v="No Coupon"/>
    <x v="3"/>
    <n v="2620.7199999999998"/>
    <n v="524.14400000000001"/>
    <n v="2096.576"/>
    <x v="7"/>
  </r>
  <r>
    <s v="ORD200288"/>
    <s v="12/03/2023"/>
    <s v="C97643"/>
    <x v="5"/>
    <s v="4"/>
    <s v="512.75"/>
    <s v="537 Main St"/>
    <s v="Debit Card"/>
    <s v="Returned"/>
    <s v="TRK60831391"/>
    <s v="8"/>
    <s v="Winter15"/>
    <x v="4"/>
    <n v="2051"/>
    <n v="410.2"/>
    <n v="1640.8"/>
    <x v="9"/>
  </r>
  <r>
    <s v="ORD200291"/>
    <s v="12/05/2024"/>
    <s v="C61521"/>
    <x v="1"/>
    <s v="2"/>
    <s v="345.01"/>
    <s v="670 Main St"/>
    <s v="Credit Card"/>
    <s v="Delivered"/>
    <s v="TRK93676567"/>
    <s v="6"/>
    <s v="Freeship"/>
    <x v="4"/>
    <n v="690.02"/>
    <n v="276.00799999999998"/>
    <n v="414.012"/>
    <x v="4"/>
  </r>
  <r>
    <s v="ORD200294"/>
    <s v="01/04/2025"/>
    <s v="C65414"/>
    <x v="1"/>
    <s v="2"/>
    <s v="297.71"/>
    <s v="208 Main St"/>
    <s v="Online"/>
    <s v="Shipped"/>
    <s v="TRK67562517"/>
    <s v="7"/>
    <s v="Save10"/>
    <x v="1"/>
    <n v="595.41999999999996"/>
    <n v="238.16799999999998"/>
    <n v="357.25199999999995"/>
    <x v="6"/>
  </r>
  <r>
    <s v="ORD200295"/>
    <s v="25/01/2023"/>
    <s v="C49009"/>
    <x v="4"/>
    <s v="5"/>
    <s v="107.48"/>
    <s v="278 Main St"/>
    <s v="Debit Card"/>
    <s v="Cancelled"/>
    <s v="TRK46285799"/>
    <s v="9"/>
    <s v="Freeship"/>
    <x v="2"/>
    <n v="537.4"/>
    <n v="85.984000000000009"/>
    <n v="451.41599999999994"/>
    <x v="0"/>
  </r>
  <r>
    <s v="ORD200297"/>
    <s v="22/02/2023"/>
    <s v="C68078"/>
    <x v="6"/>
    <s v="2"/>
    <s v="493.88"/>
    <s v="252 Main St"/>
    <s v="Credit Card"/>
    <s v="Returned"/>
    <s v="TRK64862812"/>
    <s v="7"/>
    <s v="Save10"/>
    <x v="0"/>
    <n v="987.76"/>
    <n v="395.10399999999998"/>
    <n v="592.65599999999995"/>
    <x v="2"/>
  </r>
  <r>
    <s v="ORD200299"/>
    <s v="20/01/2024"/>
    <s v="C30711"/>
    <x v="0"/>
    <s v="1"/>
    <s v="278.66"/>
    <s v="856 Main St"/>
    <s v="Gift Card"/>
    <s v="Cancelled"/>
    <s v="TRK42696593"/>
    <s v="2"/>
    <s v="Freeship"/>
    <x v="0"/>
    <n v="278.66000000000003"/>
    <n v="222.92800000000003"/>
    <n v="55.731999999999999"/>
    <x v="0"/>
  </r>
  <r>
    <s v="ORD200300"/>
    <s v="02/09/2024"/>
    <s v="C39000"/>
    <x v="1"/>
    <s v="1"/>
    <s v="287.46"/>
    <s v="894 Main St"/>
    <s v="Debit Card"/>
    <s v="Returned"/>
    <s v="TRK33753945"/>
    <s v="3"/>
    <s v="Freeship"/>
    <x v="3"/>
    <n v="287.45999999999998"/>
    <n v="229.96799999999999"/>
    <n v="57.49199999999999"/>
    <x v="11"/>
  </r>
  <r>
    <s v="ORD200304"/>
    <s v="18/10/2024"/>
    <s v="C86762"/>
    <x v="0"/>
    <s v="5"/>
    <s v="408.73"/>
    <s v="326 Main St"/>
    <s v="Gift Card"/>
    <s v="Delivered"/>
    <s v="TRK75686292"/>
    <s v="10"/>
    <s v="Freeship"/>
    <x v="0"/>
    <n v="2043.65"/>
    <n v="326.98400000000004"/>
    <n v="1716.6660000000002"/>
    <x v="3"/>
  </r>
  <r>
    <s v="ORD200306"/>
    <s v="07/06/2024"/>
    <s v="C70495"/>
    <x v="4"/>
    <s v="2"/>
    <s v="57.07"/>
    <s v="238 Main St"/>
    <s v="Debit Card"/>
    <s v="Returned"/>
    <s v="TRK65511225"/>
    <s v="3"/>
    <s v="Save10"/>
    <x v="0"/>
    <n v="114.14"/>
    <n v="45.655999999999999"/>
    <n v="68.484000000000009"/>
    <x v="5"/>
  </r>
  <r>
    <s v="ORD200307"/>
    <s v="01/07/2023"/>
    <s v="C92407"/>
    <x v="5"/>
    <s v="3"/>
    <s v="557.41"/>
    <s v="135 Main St"/>
    <s v="Online"/>
    <s v="Delivered"/>
    <s v="TRK11755610"/>
    <s v="4"/>
    <s v="No Coupon"/>
    <x v="2"/>
    <n v="1672.23"/>
    <n v="445.928"/>
    <n v="1226.3020000000001"/>
    <x v="10"/>
  </r>
  <r>
    <s v="ORD200309"/>
    <s v="03/10/2023"/>
    <s v="C63153"/>
    <x v="3"/>
    <s v="4"/>
    <s v="549.76"/>
    <s v="625 Main St"/>
    <s v="Debit Card"/>
    <s v="Delivered"/>
    <s v="TRK38033305"/>
    <s v="4"/>
    <s v="Freeship"/>
    <x v="3"/>
    <n v="2199.04"/>
    <n v="439.80799999999999"/>
    <n v="1759.232"/>
    <x v="3"/>
  </r>
  <r>
    <s v="ORD200310"/>
    <s v="24/02/2024"/>
    <s v="C85863"/>
    <x v="4"/>
    <s v="3"/>
    <s v="132.48"/>
    <s v="968 Main St"/>
    <s v="Online"/>
    <s v="Shipped"/>
    <s v="TRK16094218"/>
    <s v="4"/>
    <s v="No Coupon"/>
    <x v="1"/>
    <n v="397.43999999999994"/>
    <n v="105.98399999999999"/>
    <n v="291.45599999999996"/>
    <x v="2"/>
  </r>
  <r>
    <s v="ORD200311"/>
    <s v="17/05/2025"/>
    <s v="C71698"/>
    <x v="6"/>
    <s v="5"/>
    <s v="489.37"/>
    <s v="274 Main St"/>
    <s v="Online"/>
    <s v="Returned"/>
    <s v="TRK34786818"/>
    <s v="8"/>
    <s v="No Coupon"/>
    <x v="0"/>
    <n v="2446.85"/>
    <n v="391.49599999999998"/>
    <n v="2055.3539999999998"/>
    <x v="4"/>
  </r>
  <r>
    <s v="ORD200313"/>
    <s v="09/07/2023"/>
    <s v="C67687"/>
    <x v="3"/>
    <s v="2"/>
    <s v="434.3"/>
    <s v="978 Main St"/>
    <s v="Cash"/>
    <s v="Delivered"/>
    <s v="TRK22838735"/>
    <s v="7"/>
    <s v="Save10"/>
    <x v="0"/>
    <n v="868.6"/>
    <n v="347.44"/>
    <n v="521.16000000000008"/>
    <x v="10"/>
  </r>
  <r>
    <s v="ORD200314"/>
    <s v="04/10/2023"/>
    <s v="C29931"/>
    <x v="6"/>
    <s v="4"/>
    <s v="153.09"/>
    <s v="540 Main St"/>
    <s v="Online"/>
    <s v="Delivered"/>
    <s v="TRK48712417"/>
    <s v="4"/>
    <s v="Freeship"/>
    <x v="1"/>
    <n v="612.36"/>
    <n v="122.47200000000001"/>
    <n v="489.88800000000003"/>
    <x v="3"/>
  </r>
  <r>
    <s v="ORD200315"/>
    <s v="12/05/2025"/>
    <s v="C59139"/>
    <x v="2"/>
    <s v="5"/>
    <s v="91.67"/>
    <s v="301 Main St"/>
    <s v="Online"/>
    <s v="Cancelled"/>
    <s v="TRK45507090"/>
    <s v="9"/>
    <s v="Freeship"/>
    <x v="2"/>
    <n v="458.35"/>
    <n v="73.335999999999999"/>
    <n v="385.01400000000001"/>
    <x v="4"/>
  </r>
  <r>
    <s v="ORD200316"/>
    <s v="02/10/2023"/>
    <s v="C66078"/>
    <x v="6"/>
    <s v="4"/>
    <s v="275.28"/>
    <s v="101 Main St"/>
    <s v="Gift Card"/>
    <s v="Shipped"/>
    <s v="TRK86474559"/>
    <s v="9"/>
    <s v="Winter15"/>
    <x v="3"/>
    <n v="1101.1199999999999"/>
    <n v="220.22399999999999"/>
    <n v="880.89599999999996"/>
    <x v="3"/>
  </r>
  <r>
    <s v="ORD200319"/>
    <s v="02/12/2023"/>
    <s v="C53049"/>
    <x v="5"/>
    <s v="2"/>
    <s v="563.06"/>
    <s v="413 Main St"/>
    <s v="Cash"/>
    <s v="Returned"/>
    <s v="TRK48974907"/>
    <s v="6"/>
    <s v="No Coupon"/>
    <x v="0"/>
    <n v="1126.1199999999999"/>
    <n v="450.44799999999998"/>
    <n v="675.67199999999991"/>
    <x v="8"/>
  </r>
  <r>
    <s v="ORD200322"/>
    <s v="14/06/2024"/>
    <s v="C48646"/>
    <x v="1"/>
    <s v="5"/>
    <s v="231.82"/>
    <s v="339 Main St"/>
    <s v="Debit Card"/>
    <s v="Delivered"/>
    <s v="TRK18233748"/>
    <s v="6"/>
    <s v="Save10"/>
    <x v="3"/>
    <n v="1159.0999999999999"/>
    <n v="185.45599999999999"/>
    <n v="973.64399999999989"/>
    <x v="5"/>
  </r>
  <r>
    <s v="ORD200323"/>
    <s v="26/01/2025"/>
    <s v="C29416"/>
    <x v="5"/>
    <s v="1"/>
    <s v="150.17"/>
    <s v="414 Main St"/>
    <s v="Debit Card"/>
    <s v="Returned"/>
    <s v="TRK63820842"/>
    <s v="1"/>
    <s v="Save10"/>
    <x v="1"/>
    <n v="150.16999999999999"/>
    <n v="120.136"/>
    <n v="30.033999999999992"/>
    <x v="0"/>
  </r>
  <r>
    <s v="ORD200325"/>
    <s v="29/06/2023"/>
    <s v="C53545"/>
    <x v="6"/>
    <s v="3"/>
    <s v="361.39"/>
    <s v="665 Main St"/>
    <s v="Credit Card"/>
    <s v="Shipped"/>
    <s v="TRK61123177"/>
    <s v="8"/>
    <s v="No Coupon"/>
    <x v="1"/>
    <n v="1084.17"/>
    <n v="289.11199999999997"/>
    <n v="795.05800000000011"/>
    <x v="5"/>
  </r>
  <r>
    <s v="ORD200328"/>
    <s v="28/02/2023"/>
    <s v="C18404"/>
    <x v="2"/>
    <s v="5"/>
    <s v="674.04"/>
    <s v="546 Main St"/>
    <s v="Online"/>
    <s v="Cancelled"/>
    <s v="TRK89401624"/>
    <s v="7"/>
    <s v="Save10"/>
    <x v="4"/>
    <n v="3370.2"/>
    <n v="539.23199999999997"/>
    <n v="2830.9679999999998"/>
    <x v="2"/>
  </r>
  <r>
    <s v="ORD200330"/>
    <s v="02/06/2024"/>
    <s v="C38068"/>
    <x v="6"/>
    <s v="5"/>
    <s v="260.53"/>
    <s v="532 Main St"/>
    <s v="Gift Card"/>
    <s v="Pending"/>
    <s v="TRK54059198"/>
    <s v="5"/>
    <s v="Save10"/>
    <x v="0"/>
    <n v="1302.6499999999999"/>
    <n v="208.42399999999998"/>
    <n v="1094.2259999999999"/>
    <x v="5"/>
  </r>
  <r>
    <s v="ORD200332"/>
    <s v="03/07/2024"/>
    <s v="C26163"/>
    <x v="6"/>
    <s v="5"/>
    <s v="125.02"/>
    <s v="607 Main St"/>
    <s v="Debit Card"/>
    <s v="Pending"/>
    <s v="TRK67499316"/>
    <s v="9"/>
    <s v="Save10"/>
    <x v="4"/>
    <n v="625.1"/>
    <n v="100.01599999999999"/>
    <n v="525.08400000000006"/>
    <x v="10"/>
  </r>
  <r>
    <s v="ORD200334"/>
    <s v="26/03/2024"/>
    <s v="C90348"/>
    <x v="3"/>
    <s v="4"/>
    <s v="224.75"/>
    <s v="728 Main St"/>
    <s v="Online"/>
    <s v="Delivered"/>
    <s v="TRK20635777"/>
    <s v="7"/>
    <s v="Winter15"/>
    <x v="3"/>
    <n v="899"/>
    <n v="179.8"/>
    <n v="719.2"/>
    <x v="9"/>
  </r>
  <r>
    <s v="ORD200337"/>
    <s v="29/05/2023"/>
    <s v="C77763"/>
    <x v="2"/>
    <s v="3"/>
    <s v="502.77"/>
    <s v="599 Main St"/>
    <s v="Debit Card"/>
    <s v="Returned"/>
    <s v="TRK66980447"/>
    <s v="8"/>
    <s v="Winter15"/>
    <x v="2"/>
    <n v="1508.31"/>
    <n v="402.21600000000001"/>
    <n v="1106.0940000000001"/>
    <x v="4"/>
  </r>
  <r>
    <s v="ORD200338"/>
    <s v="08/11/2023"/>
    <s v="C53627"/>
    <x v="1"/>
    <s v="5"/>
    <s v="305.49"/>
    <s v="704 Main St"/>
    <s v="Debit Card"/>
    <s v="Shipped"/>
    <s v="TRK64112352"/>
    <s v="10"/>
    <s v="No Coupon"/>
    <x v="1"/>
    <n v="1527.45"/>
    <n v="244.392"/>
    <n v="1283.058"/>
    <x v="7"/>
  </r>
  <r>
    <s v="ORD200339"/>
    <s v="10/04/2024"/>
    <s v="C84563"/>
    <x v="4"/>
    <s v="2"/>
    <s v="236.33"/>
    <s v="398 Main St"/>
    <s v="Online"/>
    <s v="Pending"/>
    <s v="TRK62422797"/>
    <s v="3"/>
    <s v="Save10"/>
    <x v="0"/>
    <n v="472.66"/>
    <n v="189.06400000000002"/>
    <n v="283.596"/>
    <x v="6"/>
  </r>
  <r>
    <s v="ORD200340"/>
    <s v="23/04/2023"/>
    <s v="C76207"/>
    <x v="5"/>
    <s v="5"/>
    <s v="521.25"/>
    <s v="826 Main St"/>
    <s v="Cash"/>
    <s v="Cancelled"/>
    <s v="TRK25569378"/>
    <s v="8"/>
    <s v="No Coupon"/>
    <x v="2"/>
    <n v="2606.25"/>
    <n v="417"/>
    <n v="2189.25"/>
    <x v="6"/>
  </r>
  <r>
    <s v="ORD200341"/>
    <s v="23/09/2024"/>
    <s v="C94671"/>
    <x v="2"/>
    <s v="1"/>
    <s v="167.15"/>
    <s v="293 Main St"/>
    <s v="Gift Card"/>
    <s v="Shipped"/>
    <s v="TRK61357272"/>
    <s v="5"/>
    <s v="Winter15"/>
    <x v="2"/>
    <n v="167.15"/>
    <n v="133.72"/>
    <n v="33.430000000000007"/>
    <x v="11"/>
  </r>
  <r>
    <s v="ORD200343"/>
    <s v="26/02/2023"/>
    <s v="C64638"/>
    <x v="4"/>
    <s v="1"/>
    <s v="527.57"/>
    <s v="919 Main St"/>
    <s v="Debit Card"/>
    <s v="Pending"/>
    <s v="TRK64087938"/>
    <s v="3"/>
    <s v="Freeship"/>
    <x v="3"/>
    <n v="527.57000000000005"/>
    <n v="422.05600000000004"/>
    <n v="105.51400000000001"/>
    <x v="2"/>
  </r>
  <r>
    <s v="ORD200344"/>
    <s v="06/03/2025"/>
    <s v="C95623"/>
    <x v="2"/>
    <s v="3"/>
    <s v="623.34"/>
    <s v="248 Main St"/>
    <s v="Online"/>
    <s v="Cancelled"/>
    <s v="TRK67558189"/>
    <s v="3"/>
    <s v="Save10"/>
    <x v="0"/>
    <n v="1870.02"/>
    <n v="498.67200000000003"/>
    <n v="1371.348"/>
    <x v="9"/>
  </r>
  <r>
    <s v="ORD200346"/>
    <s v="06/12/2024"/>
    <s v="C31764"/>
    <x v="2"/>
    <s v="1"/>
    <s v="655.09"/>
    <s v="876 Main St"/>
    <s v="Cash"/>
    <s v="Pending"/>
    <s v="TRK44680433"/>
    <s v="6"/>
    <s v="No Coupon"/>
    <x v="1"/>
    <n v="655.09"/>
    <n v="524.072"/>
    <n v="131.01800000000003"/>
    <x v="8"/>
  </r>
  <r>
    <s v="ORD200347"/>
    <s v="03/02/2024"/>
    <s v="C83556"/>
    <x v="4"/>
    <s v="4"/>
    <s v="264.79"/>
    <s v="380 Main St"/>
    <s v="Credit Card"/>
    <s v="Pending"/>
    <s v="TRK21109187"/>
    <s v="5"/>
    <s v="Save10"/>
    <x v="4"/>
    <n v="1059.1600000000001"/>
    <n v="211.83200000000002"/>
    <n v="847.32800000000009"/>
    <x v="2"/>
  </r>
  <r>
    <s v="ORD200350"/>
    <s v="03/06/2023"/>
    <s v="C13296"/>
    <x v="3"/>
    <s v="2"/>
    <s v="54.41"/>
    <s v="495 Main St"/>
    <s v="Online"/>
    <s v="Shipped"/>
    <s v="TRK60127216"/>
    <s v="6"/>
    <s v="No Coupon"/>
    <x v="0"/>
    <n v="108.82"/>
    <n v="43.527999999999999"/>
    <n v="65.292000000000002"/>
    <x v="5"/>
  </r>
  <r>
    <s v="ORD200351"/>
    <s v="15/02/2025"/>
    <s v="C94248"/>
    <x v="5"/>
    <s v="1"/>
    <s v="64.66"/>
    <s v="494 Main St"/>
    <s v="Debit Card"/>
    <s v="Delivered"/>
    <s v="TRK89406816"/>
    <s v="4"/>
    <s v="No Coupon"/>
    <x v="0"/>
    <n v="64.66"/>
    <n v="51.727999999999994"/>
    <n v="12.932000000000002"/>
    <x v="2"/>
  </r>
  <r>
    <s v="ORD200352"/>
    <s v="31/08/2023"/>
    <s v="C26637"/>
    <x v="3"/>
    <s v="5"/>
    <s v="173.96"/>
    <s v="995 Main St"/>
    <s v="Debit Card"/>
    <s v="Pending"/>
    <s v="TRK59546992"/>
    <s v="8"/>
    <s v="Winter15"/>
    <x v="0"/>
    <n v="869.80000000000007"/>
    <n v="139.16800000000001"/>
    <n v="730.63200000000006"/>
    <x v="1"/>
  </r>
  <r>
    <s v="ORD200354"/>
    <s v="11/07/2023"/>
    <s v="C31772"/>
    <x v="1"/>
    <s v="1"/>
    <s v="693.41"/>
    <s v="992 Main St"/>
    <s v="Debit Card"/>
    <s v="Shipped"/>
    <s v="TRK11970357"/>
    <s v="4"/>
    <s v="No Coupon"/>
    <x v="0"/>
    <n v="693.41"/>
    <n v="554.72799999999995"/>
    <n v="138.68200000000002"/>
    <x v="10"/>
  </r>
  <r>
    <s v="ORD200355"/>
    <s v="03/06/2025"/>
    <s v="C18353"/>
    <x v="2"/>
    <s v="3"/>
    <s v="433.33"/>
    <s v="677 Main St"/>
    <s v="Credit Card"/>
    <s v="Cancelled"/>
    <s v="TRK78766533"/>
    <s v="4"/>
    <s v="Freeship"/>
    <x v="1"/>
    <n v="1299.99"/>
    <n v="346.66399999999999"/>
    <n v="953.32600000000002"/>
    <x v="5"/>
  </r>
  <r>
    <s v="ORD200356"/>
    <s v="06/05/2023"/>
    <s v="C26966"/>
    <x v="4"/>
    <s v="5"/>
    <s v="374.58"/>
    <s v="907 Main St"/>
    <s v="Gift Card"/>
    <s v="Cancelled"/>
    <s v="TRK83889574"/>
    <s v="10"/>
    <s v="Freeship"/>
    <x v="0"/>
    <n v="1872.8999999999999"/>
    <n v="299.66399999999999"/>
    <n v="1573.2359999999999"/>
    <x v="4"/>
  </r>
  <r>
    <s v="ORD200359"/>
    <s v="09/06/2023"/>
    <s v="C95643"/>
    <x v="6"/>
    <s v="4"/>
    <s v="606.57"/>
    <s v="303 Main St"/>
    <s v="Debit Card"/>
    <s v="Delivered"/>
    <s v="TRK23286689"/>
    <s v="5"/>
    <s v="Winter15"/>
    <x v="1"/>
    <n v="2426.2800000000002"/>
    <n v="485.25600000000003"/>
    <n v="1941.0240000000001"/>
    <x v="5"/>
  </r>
  <r>
    <s v="ORD200360"/>
    <s v="06/06/2024"/>
    <s v="C53810"/>
    <x v="1"/>
    <s v="4"/>
    <s v="589.57"/>
    <s v="779 Main St"/>
    <s v="Cash"/>
    <s v="Pending"/>
    <s v="TRK34630612"/>
    <s v="8"/>
    <s v="No Coupon"/>
    <x v="0"/>
    <n v="2358.2800000000002"/>
    <n v="471.65600000000006"/>
    <n v="1886.6240000000003"/>
    <x v="5"/>
  </r>
  <r>
    <s v="ORD200361"/>
    <s v="29/06/2024"/>
    <s v="C53464"/>
    <x v="4"/>
    <s v="5"/>
    <s v="659.85"/>
    <s v="197 Main St"/>
    <s v="Credit Card"/>
    <s v="Delivered"/>
    <s v="TRK32743531"/>
    <s v="9"/>
    <s v="Save10"/>
    <x v="3"/>
    <n v="3299.25"/>
    <n v="527.88"/>
    <n v="2771.37"/>
    <x v="5"/>
  </r>
  <r>
    <s v="ORD200366"/>
    <s v="10/02/2023"/>
    <s v="C95213"/>
    <x v="4"/>
    <s v="3"/>
    <s v="602.24"/>
    <s v="603 Main St"/>
    <s v="Debit Card"/>
    <s v="Pending"/>
    <s v="TRK40630538"/>
    <s v="8"/>
    <s v="No Coupon"/>
    <x v="1"/>
    <n v="1806.72"/>
    <n v="481.79200000000003"/>
    <n v="1324.9279999999999"/>
    <x v="2"/>
  </r>
  <r>
    <s v="ORD200373"/>
    <s v="02/01/2023"/>
    <s v="C60178"/>
    <x v="5"/>
    <s v="3"/>
    <s v="341.15"/>
    <s v="969 Main St"/>
    <s v="Cash"/>
    <s v="Pending"/>
    <s v="TRK84505143"/>
    <s v="4"/>
    <s v="Freeship"/>
    <x v="0"/>
    <n v="1023.4499999999999"/>
    <n v="272.91999999999996"/>
    <n v="750.53"/>
    <x v="0"/>
  </r>
  <r>
    <s v="ORD200375"/>
    <s v="16/01/2025"/>
    <s v="C87547"/>
    <x v="0"/>
    <s v="4"/>
    <s v="95.03"/>
    <s v="400 Main St"/>
    <s v="Online"/>
    <s v="Shipped"/>
    <s v="TRK71027262"/>
    <s v="8"/>
    <s v="Freeship"/>
    <x v="3"/>
    <n v="380.12"/>
    <n v="76.024000000000001"/>
    <n v="304.096"/>
    <x v="0"/>
  </r>
  <r>
    <s v="ORD200376"/>
    <s v="24/08/2023"/>
    <s v="C64549"/>
    <x v="0"/>
    <s v="5"/>
    <s v="201.22"/>
    <s v="341 Main St"/>
    <s v="Debit Card"/>
    <s v="Pending"/>
    <s v="TRK20788231"/>
    <s v="6"/>
    <s v="Freeship"/>
    <x v="3"/>
    <n v="1006.1"/>
    <n v="160.976"/>
    <n v="845.12400000000002"/>
    <x v="1"/>
  </r>
  <r>
    <s v="ORD200378"/>
    <s v="01/02/2024"/>
    <s v="C62666"/>
    <x v="3"/>
    <s v="5"/>
    <s v="64.5"/>
    <s v="148 Main St"/>
    <s v="Credit Card"/>
    <s v="Pending"/>
    <s v="TRK91029390"/>
    <s v="8"/>
    <s v="Winter15"/>
    <x v="0"/>
    <n v="322.5"/>
    <n v="51.6"/>
    <n v="270.89999999999998"/>
    <x v="2"/>
  </r>
  <r>
    <s v="ORD200382"/>
    <s v="30/01/2025"/>
    <s v="C26718"/>
    <x v="4"/>
    <s v="4"/>
    <s v="263.09"/>
    <s v="272 Main St"/>
    <s v="Debit Card"/>
    <s v="Shipped"/>
    <s v="TRK91702525"/>
    <s v="8"/>
    <s v="Save10"/>
    <x v="4"/>
    <n v="1052.3599999999999"/>
    <n v="210.47199999999998"/>
    <n v="841.88799999999992"/>
    <x v="0"/>
  </r>
  <r>
    <s v="ORD200389"/>
    <s v="17/12/2023"/>
    <s v="C29703"/>
    <x v="6"/>
    <s v="4"/>
    <s v="697.5"/>
    <s v="558 Main St"/>
    <s v="Cash"/>
    <s v="Shipped"/>
    <s v="TRK40543461"/>
    <s v="7"/>
    <s v="Freeship"/>
    <x v="1"/>
    <n v="2790"/>
    <n v="558"/>
    <n v="2232"/>
    <x v="8"/>
  </r>
  <r>
    <s v="ORD200390"/>
    <s v="14/07/2023"/>
    <s v="C55996"/>
    <x v="4"/>
    <s v="5"/>
    <s v="508.69"/>
    <s v="885 Main St"/>
    <s v="Cash"/>
    <s v="Delivered"/>
    <s v="TRK30547638"/>
    <s v="10"/>
    <s v="Freeship"/>
    <x v="4"/>
    <n v="2543.4499999999998"/>
    <n v="406.952"/>
    <n v="2136.4979999999996"/>
    <x v="10"/>
  </r>
  <r>
    <s v="ORD200393"/>
    <s v="14/07/2024"/>
    <s v="C39906"/>
    <x v="4"/>
    <s v="1"/>
    <s v="75.01"/>
    <s v="921 Main St"/>
    <s v="Credit Card"/>
    <s v="Returned"/>
    <s v="TRK24632134"/>
    <s v="3"/>
    <s v="No Coupon"/>
    <x v="4"/>
    <n v="75.010000000000005"/>
    <n v="60.008000000000003"/>
    <n v="15.002000000000002"/>
    <x v="10"/>
  </r>
  <r>
    <s v="ORD200397"/>
    <s v="28/09/2023"/>
    <s v="C30184"/>
    <x v="0"/>
    <s v="1"/>
    <s v="427.06"/>
    <s v="987 Main St"/>
    <s v="Online"/>
    <s v="Cancelled"/>
    <s v="TRK86674704"/>
    <s v="1"/>
    <s v="Winter15"/>
    <x v="1"/>
    <n v="427.06"/>
    <n v="341.64800000000002"/>
    <n v="85.411999999999978"/>
    <x v="11"/>
  </r>
  <r>
    <s v="ORD200398"/>
    <s v="04/09/2024"/>
    <s v="C50275"/>
    <x v="1"/>
    <s v="5"/>
    <s v="53.93"/>
    <s v="729 Main St"/>
    <s v="Gift Card"/>
    <s v="Shipped"/>
    <s v="TRK98925264"/>
    <s v="7"/>
    <s v="Save10"/>
    <x v="0"/>
    <n v="269.64999999999998"/>
    <n v="43.143999999999998"/>
    <n v="226.50599999999997"/>
    <x v="11"/>
  </r>
  <r>
    <s v="ORD200399"/>
    <s v="07/01/2024"/>
    <s v="C64641"/>
    <x v="2"/>
    <s v="5"/>
    <s v="423.93"/>
    <s v="319 Main St"/>
    <s v="Debit Card"/>
    <s v="Returned"/>
    <s v="TRK32012588"/>
    <s v="5"/>
    <s v="Freeship"/>
    <x v="3"/>
    <n v="2119.65"/>
    <n v="339.14400000000001"/>
    <n v="1780.5060000000001"/>
    <x v="0"/>
  </r>
  <r>
    <s v="ORD200400"/>
    <s v="28/09/2024"/>
    <s v="C56266"/>
    <x v="6"/>
    <s v="4"/>
    <s v="160.22"/>
    <s v="304 Main St"/>
    <s v="Debit Card"/>
    <s v="Returned"/>
    <s v="TRK60088901"/>
    <s v="9"/>
    <s v="Winter15"/>
    <x v="0"/>
    <n v="640.88"/>
    <n v="128.17599999999999"/>
    <n v="512.70399999999995"/>
    <x v="11"/>
  </r>
  <r>
    <s v="ORD200402"/>
    <s v="09/04/2023"/>
    <s v="C83026"/>
    <x v="4"/>
    <s v="5"/>
    <s v="337.38"/>
    <s v="858 Main St"/>
    <s v="Gift Card"/>
    <s v="Shipped"/>
    <s v="TRK79746259"/>
    <s v="5"/>
    <s v="No Coupon"/>
    <x v="1"/>
    <n v="1686.9"/>
    <n v="269.904"/>
    <n v="1416.9960000000001"/>
    <x v="6"/>
  </r>
  <r>
    <s v="ORD200403"/>
    <s v="10/11/2024"/>
    <s v="C28893"/>
    <x v="2"/>
    <s v="1"/>
    <s v="620.21"/>
    <s v="740 Main St"/>
    <s v="Online"/>
    <s v="Returned"/>
    <s v="TRK98333066"/>
    <s v="1"/>
    <s v="Freeship"/>
    <x v="1"/>
    <n v="620.21"/>
    <n v="496.16800000000001"/>
    <n v="124.04200000000003"/>
    <x v="7"/>
  </r>
  <r>
    <s v="ORD200406"/>
    <s v="10/12/2023"/>
    <s v="C11657"/>
    <x v="2"/>
    <s v="4"/>
    <s v="66.1"/>
    <s v="572 Main St"/>
    <s v="Cash"/>
    <s v="Returned"/>
    <s v="TRK50284486"/>
    <s v="9"/>
    <s v="Winter15"/>
    <x v="4"/>
    <n v="264.39999999999998"/>
    <n v="52.879999999999995"/>
    <n v="211.51999999999998"/>
    <x v="8"/>
  </r>
  <r>
    <s v="ORD200408"/>
    <s v="01/01/2025"/>
    <s v="C11906"/>
    <x v="4"/>
    <s v="3"/>
    <s v="412.53"/>
    <s v="536 Main St"/>
    <s v="Online"/>
    <s v="Pending"/>
    <s v="TRK31140158"/>
    <s v="6"/>
    <s v="Winter15"/>
    <x v="4"/>
    <n v="1237.5899999999999"/>
    <n v="330.024"/>
    <n v="907.56599999999992"/>
    <x v="0"/>
  </r>
  <r>
    <s v="ORD200409"/>
    <s v="28/06/2023"/>
    <s v="C45187"/>
    <x v="6"/>
    <s v="5"/>
    <s v="84.13"/>
    <s v="767 Main St"/>
    <s v="Online"/>
    <s v="Delivered"/>
    <s v="TRK12320793"/>
    <s v="9"/>
    <s v="Save10"/>
    <x v="4"/>
    <n v="420.65"/>
    <n v="67.304000000000002"/>
    <n v="353.346"/>
    <x v="5"/>
  </r>
  <r>
    <s v="ORD200410"/>
    <s v="18/01/2024"/>
    <s v="C37375"/>
    <x v="2"/>
    <s v="2"/>
    <s v="518.23"/>
    <s v="184 Main St"/>
    <s v="Debit Card"/>
    <s v="Shipped"/>
    <s v="TRK52470162"/>
    <s v="5"/>
    <s v="No Coupon"/>
    <x v="2"/>
    <n v="1036.46"/>
    <n v="414.584"/>
    <n v="621.87599999999998"/>
    <x v="0"/>
  </r>
  <r>
    <s v="ORD200412"/>
    <s v="11/04/2025"/>
    <s v="C42451"/>
    <x v="2"/>
    <s v="5"/>
    <s v="133.01"/>
    <s v="246 Main St"/>
    <s v="Credit Card"/>
    <s v="Returned"/>
    <s v="TRK31313343"/>
    <s v="10"/>
    <s v="No Coupon"/>
    <x v="3"/>
    <n v="665.05"/>
    <n v="106.40799999999999"/>
    <n v="558.64199999999994"/>
    <x v="6"/>
  </r>
  <r>
    <s v="ORD200413"/>
    <s v="08/10/2023"/>
    <s v="C13923"/>
    <x v="2"/>
    <s v="1"/>
    <s v="118.8"/>
    <s v="123 Main St"/>
    <s v="Online"/>
    <s v="Delivered"/>
    <s v="TRK87598790"/>
    <s v="6"/>
    <s v="Save10"/>
    <x v="2"/>
    <n v="118.8"/>
    <n v="95.039999999999992"/>
    <n v="23.760000000000005"/>
    <x v="3"/>
  </r>
  <r>
    <s v="ORD200414"/>
    <s v="04/05/2025"/>
    <s v="C11829"/>
    <x v="6"/>
    <s v="2"/>
    <s v="139.57"/>
    <s v="797 Main St"/>
    <s v="Cash"/>
    <s v="Delivered"/>
    <s v="TRK84229257"/>
    <s v="4"/>
    <s v="Winter15"/>
    <x v="3"/>
    <n v="279.14"/>
    <n v="111.65599999999999"/>
    <n v="167.48399999999998"/>
    <x v="4"/>
  </r>
  <r>
    <s v="ORD200417"/>
    <s v="24/10/2023"/>
    <s v="C44492"/>
    <x v="5"/>
    <s v="5"/>
    <s v="55.41"/>
    <s v="954 Main St"/>
    <s v="Online"/>
    <s v="Cancelled"/>
    <s v="TRK51429869"/>
    <s v="5"/>
    <s v="No Coupon"/>
    <x v="4"/>
    <n v="277.04999999999995"/>
    <n v="44.327999999999996"/>
    <n v="232.72199999999995"/>
    <x v="3"/>
  </r>
  <r>
    <s v="ORD200418"/>
    <s v="11/01/2023"/>
    <s v="C74169"/>
    <x v="4"/>
    <s v="1"/>
    <s v="310.93"/>
    <s v="862 Main St"/>
    <s v="Online"/>
    <s v="Cancelled"/>
    <s v="TRK66144809"/>
    <s v="3"/>
    <s v="No Coupon"/>
    <x v="3"/>
    <n v="310.93"/>
    <n v="248.744"/>
    <n v="62.186000000000007"/>
    <x v="0"/>
  </r>
  <r>
    <s v="ORD200420"/>
    <s v="29/11/2024"/>
    <s v="C11921"/>
    <x v="1"/>
    <s v="1"/>
    <s v="452.7"/>
    <s v="439 Main St"/>
    <s v="Debit Card"/>
    <s v="Shipped"/>
    <s v="TRK91362635"/>
    <s v="5"/>
    <s v="Freeship"/>
    <x v="0"/>
    <n v="452.7"/>
    <n v="362.15999999999997"/>
    <n v="90.54000000000002"/>
    <x v="7"/>
  </r>
  <r>
    <s v="ORD200423"/>
    <s v="20/07/2024"/>
    <s v="C94311"/>
    <x v="4"/>
    <s v="4"/>
    <s v="685.2"/>
    <s v="195 Main St"/>
    <s v="Gift Card"/>
    <s v="Cancelled"/>
    <s v="TRK97308771"/>
    <s v="6"/>
    <s v="Winter15"/>
    <x v="4"/>
    <n v="2740.8"/>
    <n v="548.16000000000008"/>
    <n v="2192.6400000000003"/>
    <x v="10"/>
  </r>
  <r>
    <s v="ORD200426"/>
    <s v="16/03/2025"/>
    <s v="C40967"/>
    <x v="0"/>
    <s v="5"/>
    <s v="57.45"/>
    <s v="315 Main St"/>
    <s v="Cash"/>
    <s v="Cancelled"/>
    <s v="TRK24839296"/>
    <s v="10"/>
    <s v="No Coupon"/>
    <x v="3"/>
    <n v="287.25"/>
    <n v="45.96"/>
    <n v="241.29"/>
    <x v="9"/>
  </r>
  <r>
    <s v="ORD200432"/>
    <s v="04/09/2023"/>
    <s v="C58443"/>
    <x v="2"/>
    <s v="2"/>
    <s v="424.32"/>
    <s v="662 Main St"/>
    <s v="Credit Card"/>
    <s v="Returned"/>
    <s v="TRK77163738"/>
    <s v="6"/>
    <s v="No Coupon"/>
    <x v="1"/>
    <n v="848.64"/>
    <n v="339.45600000000002"/>
    <n v="509.18399999999997"/>
    <x v="11"/>
  </r>
  <r>
    <s v="ORD200446"/>
    <s v="18/10/2023"/>
    <s v="C89592"/>
    <x v="5"/>
    <s v="5"/>
    <s v="509.58"/>
    <s v="262 Main St"/>
    <s v="Online"/>
    <s v="Delivered"/>
    <s v="TRK49442402"/>
    <s v="6"/>
    <s v="Freeship"/>
    <x v="0"/>
    <n v="2547.9"/>
    <n v="407.66399999999999"/>
    <n v="2140.2359999999999"/>
    <x v="3"/>
  </r>
  <r>
    <s v="ORD200449"/>
    <s v="26/08/2024"/>
    <s v="C91518"/>
    <x v="2"/>
    <s v="3"/>
    <s v="253.05"/>
    <s v="286 Main St"/>
    <s v="Online"/>
    <s v="Pending"/>
    <s v="TRK48688724"/>
    <s v="3"/>
    <s v="No Coupon"/>
    <x v="0"/>
    <n v="759.15000000000009"/>
    <n v="202.44"/>
    <n v="556.71"/>
    <x v="1"/>
  </r>
  <r>
    <s v="ORD200450"/>
    <s v="15/01/2024"/>
    <s v="C36408"/>
    <x v="0"/>
    <s v="5"/>
    <s v="615.1"/>
    <s v="160 Main St"/>
    <s v="Gift Card"/>
    <s v="Returned"/>
    <s v="TRK94023253"/>
    <s v="10"/>
    <s v="Winter15"/>
    <x v="0"/>
    <n v="3075.5"/>
    <n v="492.08000000000004"/>
    <n v="2583.42"/>
    <x v="0"/>
  </r>
  <r>
    <s v="ORD200452"/>
    <s v="23/07/2023"/>
    <s v="C36467"/>
    <x v="4"/>
    <s v="1"/>
    <s v="75.78"/>
    <s v="581 Main St"/>
    <s v="Cash"/>
    <s v="Pending"/>
    <s v="TRK20863987"/>
    <s v="5"/>
    <s v="Save10"/>
    <x v="4"/>
    <n v="75.78"/>
    <n v="60.624000000000002"/>
    <n v="15.155999999999999"/>
    <x v="10"/>
  </r>
  <r>
    <s v="ORD200454"/>
    <s v="27/11/2024"/>
    <s v="C54759"/>
    <x v="5"/>
    <s v="1"/>
    <s v="109.29"/>
    <s v="686 Main St"/>
    <s v="Debit Card"/>
    <s v="Cancelled"/>
    <s v="TRK75583042"/>
    <s v="5"/>
    <s v="Freeship"/>
    <x v="4"/>
    <n v="109.29"/>
    <n v="87.432000000000002"/>
    <n v="21.858000000000004"/>
    <x v="7"/>
  </r>
  <r>
    <s v="ORD200456"/>
    <s v="26/06/2023"/>
    <s v="C94479"/>
    <x v="6"/>
    <s v="5"/>
    <s v="62.81"/>
    <s v="259 Main St"/>
    <s v="Credit Card"/>
    <s v="Shipped"/>
    <s v="TRK69089975"/>
    <s v="9"/>
    <s v="Save10"/>
    <x v="3"/>
    <n v="314.05"/>
    <n v="50.248000000000005"/>
    <n v="263.80200000000002"/>
    <x v="5"/>
  </r>
  <r>
    <s v="ORD200457"/>
    <s v="25/05/2025"/>
    <s v="C50236"/>
    <x v="6"/>
    <s v="4"/>
    <s v="615.83"/>
    <s v="545 Main St"/>
    <s v="Online"/>
    <s v="Returned"/>
    <s v="TRK67692578"/>
    <s v="4"/>
    <s v="Winter15"/>
    <x v="0"/>
    <n v="2463.3200000000002"/>
    <n v="492.66400000000004"/>
    <n v="1970.6560000000002"/>
    <x v="4"/>
  </r>
  <r>
    <s v="ORD200462"/>
    <s v="31/03/2025"/>
    <s v="C22991"/>
    <x v="1"/>
    <s v="1"/>
    <s v="252.68"/>
    <s v="731 Main St"/>
    <s v="Online"/>
    <s v="Cancelled"/>
    <s v="TRK32796086"/>
    <s v="1"/>
    <s v="No Coupon"/>
    <x v="1"/>
    <n v="252.68"/>
    <n v="202.14400000000001"/>
    <n v="50.536000000000001"/>
    <x v="9"/>
  </r>
  <r>
    <s v="ORD200464"/>
    <s v="14/03/2023"/>
    <s v="C39176"/>
    <x v="2"/>
    <s v="4"/>
    <s v="434.42"/>
    <s v="739 Main St"/>
    <s v="Online"/>
    <s v="Cancelled"/>
    <s v="TRK71418686"/>
    <s v="6"/>
    <s v="Freeship"/>
    <x v="4"/>
    <n v="1737.68"/>
    <n v="347.536"/>
    <n v="1390.144"/>
    <x v="9"/>
  </r>
  <r>
    <s v="ORD200468"/>
    <s v="21/06/2025"/>
    <s v="C90110"/>
    <x v="1"/>
    <s v="1"/>
    <s v="418.36"/>
    <s v="998 Main St"/>
    <s v="Credit Card"/>
    <s v="Delivered"/>
    <s v="TRK60203957"/>
    <s v="5"/>
    <s v="Freeship"/>
    <x v="2"/>
    <n v="418.36"/>
    <n v="334.68799999999999"/>
    <n v="83.672000000000025"/>
    <x v="5"/>
  </r>
  <r>
    <s v="ORD200470"/>
    <s v="29/09/2023"/>
    <s v="C25149"/>
    <x v="2"/>
    <s v="4"/>
    <s v="263.62"/>
    <s v="672 Main St"/>
    <s v="Cash"/>
    <s v="Shipped"/>
    <s v="TRK33538608"/>
    <s v="5"/>
    <s v="Save10"/>
    <x v="2"/>
    <n v="1054.48"/>
    <n v="210.89600000000002"/>
    <n v="843.58400000000006"/>
    <x v="11"/>
  </r>
  <r>
    <s v="ORD200471"/>
    <s v="19/04/2025"/>
    <s v="C52717"/>
    <x v="6"/>
    <s v="5"/>
    <s v="551.27"/>
    <s v="395 Main St"/>
    <s v="Online"/>
    <s v="Cancelled"/>
    <s v="TRK27625571"/>
    <s v="7"/>
    <s v="Freeship"/>
    <x v="1"/>
    <n v="2756.35"/>
    <n v="441.01599999999996"/>
    <n v="2315.3339999999998"/>
    <x v="6"/>
  </r>
  <r>
    <s v="ORD200472"/>
    <s v="06/01/2023"/>
    <s v="C60029"/>
    <x v="3"/>
    <s v="3"/>
    <s v="508.12"/>
    <s v="796 Main St"/>
    <s v="Credit Card"/>
    <s v="Cancelled"/>
    <s v="TRK86461316"/>
    <s v="8"/>
    <s v="Freeship"/>
    <x v="1"/>
    <n v="1524.3600000000001"/>
    <n v="406.49599999999998"/>
    <n v="1117.864"/>
    <x v="0"/>
  </r>
  <r>
    <s v="ORD200477"/>
    <s v="05/03/2025"/>
    <s v="C56564"/>
    <x v="1"/>
    <s v="2"/>
    <s v="253.74"/>
    <s v="481 Main St"/>
    <s v="Online"/>
    <s v="Shipped"/>
    <s v="TRK13166044"/>
    <s v="5"/>
    <s v="Save10"/>
    <x v="4"/>
    <n v="507.48"/>
    <n v="202.99200000000002"/>
    <n v="304.488"/>
    <x v="9"/>
  </r>
  <r>
    <s v="ORD200479"/>
    <s v="18/02/2023"/>
    <s v="C87011"/>
    <x v="0"/>
    <s v="4"/>
    <s v="25.29"/>
    <s v="943 Main St"/>
    <s v="Credit Card"/>
    <s v="Pending"/>
    <s v="TRK21429162"/>
    <s v="8"/>
    <s v="No Coupon"/>
    <x v="4"/>
    <n v="101.16"/>
    <n v="20.231999999999999"/>
    <n v="80.927999999999997"/>
    <x v="2"/>
  </r>
  <r>
    <s v="ORD200482"/>
    <s v="02/03/2025"/>
    <s v="C35852"/>
    <x v="0"/>
    <s v="3"/>
    <s v="381.41"/>
    <s v="989 Main St"/>
    <s v="Online"/>
    <s v="Pending"/>
    <s v="TRK22302049"/>
    <s v="6"/>
    <s v="No Coupon"/>
    <x v="0"/>
    <n v="1144.23"/>
    <n v="305.12800000000004"/>
    <n v="839.10199999999998"/>
    <x v="9"/>
  </r>
  <r>
    <s v="ORD200483"/>
    <s v="18/01/2023"/>
    <s v="C66462"/>
    <x v="1"/>
    <s v="5"/>
    <s v="347.92"/>
    <s v="982 Main St"/>
    <s v="Cash"/>
    <s v="Pending"/>
    <s v="TRK52743700"/>
    <s v="6"/>
    <s v="Winter15"/>
    <x v="4"/>
    <n v="1739.6000000000001"/>
    <n v="278.33600000000001"/>
    <n v="1461.2640000000001"/>
    <x v="0"/>
  </r>
  <r>
    <s v="ORD200485"/>
    <s v="01/08/2023"/>
    <s v="C46651"/>
    <x v="3"/>
    <s v="3"/>
    <s v="404.79"/>
    <s v="764 Main St"/>
    <s v="Cash"/>
    <s v="Shipped"/>
    <s v="TRK67679195"/>
    <s v="6"/>
    <s v="Save10"/>
    <x v="0"/>
    <n v="1214.3700000000001"/>
    <n v="323.83199999999999"/>
    <n v="890.53800000000012"/>
    <x v="1"/>
  </r>
  <r>
    <s v="ORD200493"/>
    <s v="28/01/2025"/>
    <s v="C84908"/>
    <x v="1"/>
    <s v="1"/>
    <s v="420.26"/>
    <s v="372 Main St"/>
    <s v="Credit Card"/>
    <s v="Pending"/>
    <s v="TRK64135970"/>
    <s v="4"/>
    <s v="Freeship"/>
    <x v="3"/>
    <n v="420.26"/>
    <n v="336.20799999999997"/>
    <n v="84.052000000000021"/>
    <x v="0"/>
  </r>
  <r>
    <s v="ORD200496"/>
    <s v="14/03/2025"/>
    <s v="C93618"/>
    <x v="4"/>
    <s v="3"/>
    <s v="201.21"/>
    <s v="249 Main St"/>
    <s v="Online"/>
    <s v="Cancelled"/>
    <s v="TRK66129326"/>
    <s v="3"/>
    <s v="Save10"/>
    <x v="4"/>
    <n v="603.63"/>
    <n v="160.96800000000002"/>
    <n v="442.66199999999998"/>
    <x v="9"/>
  </r>
  <r>
    <s v="ORD200499"/>
    <s v="06/04/2023"/>
    <s v="C18138"/>
    <x v="4"/>
    <s v="3"/>
    <s v="539.46"/>
    <s v="520 Main St"/>
    <s v="Credit Card"/>
    <s v="Shipped"/>
    <s v="TRK20289483"/>
    <s v="4"/>
    <s v="Save10"/>
    <x v="3"/>
    <n v="1618.38"/>
    <n v="431.56800000000004"/>
    <n v="1186.8120000000001"/>
    <x v="6"/>
  </r>
  <r>
    <s v="ORD200502"/>
    <s v="20/05/2023"/>
    <s v="C69332"/>
    <x v="0"/>
    <s v="3"/>
    <s v="565.25"/>
    <s v="745 Main St"/>
    <s v="Debit Card"/>
    <s v="Returned"/>
    <s v="TRK65718848"/>
    <s v="7"/>
    <s v="Save10"/>
    <x v="2"/>
    <n v="1695.75"/>
    <n v="452.2"/>
    <n v="1243.55"/>
    <x v="4"/>
  </r>
  <r>
    <s v="ORD200508"/>
    <s v="14/05/2025"/>
    <s v="C39550"/>
    <x v="1"/>
    <s v="1"/>
    <s v="558.27"/>
    <s v="976 Main St"/>
    <s v="Online"/>
    <s v="Delivered"/>
    <s v="TRK24120267"/>
    <s v="1"/>
    <s v="No Coupon"/>
    <x v="1"/>
    <n v="558.27"/>
    <n v="446.61599999999999"/>
    <n v="111.654"/>
    <x v="4"/>
  </r>
  <r>
    <s v="ORD200509"/>
    <s v="15/02/2023"/>
    <s v="C68937"/>
    <x v="5"/>
    <s v="2"/>
    <s v="425.03"/>
    <s v="560 Main St"/>
    <s v="Cash"/>
    <s v="Returned"/>
    <s v="TRK31908657"/>
    <s v="2"/>
    <s v="Winter15"/>
    <x v="4"/>
    <n v="850.06"/>
    <n v="340.024"/>
    <n v="510.03599999999994"/>
    <x v="2"/>
  </r>
  <r>
    <s v="ORD200510"/>
    <s v="16/12/2024"/>
    <s v="C72533"/>
    <x v="4"/>
    <s v="1"/>
    <s v="376.76"/>
    <s v="389 Main St"/>
    <s v="Debit Card"/>
    <s v="Delivered"/>
    <s v="TRK51288986"/>
    <s v="5"/>
    <s v="Save10"/>
    <x v="2"/>
    <n v="376.76"/>
    <n v="301.40800000000002"/>
    <n v="75.351999999999975"/>
    <x v="8"/>
  </r>
  <r>
    <s v="ORD200513"/>
    <s v="09/02/2025"/>
    <s v="C64128"/>
    <x v="2"/>
    <s v="3"/>
    <s v="94.88"/>
    <s v="533 Main St"/>
    <s v="Gift Card"/>
    <s v="Shipped"/>
    <s v="TRK37053575"/>
    <s v="8"/>
    <s v="No Coupon"/>
    <x v="1"/>
    <n v="284.64"/>
    <n v="75.903999999999996"/>
    <n v="208.73599999999999"/>
    <x v="2"/>
  </r>
  <r>
    <s v="ORD200514"/>
    <s v="16/04/2023"/>
    <s v="C15629"/>
    <x v="4"/>
    <s v="3"/>
    <s v="304.15"/>
    <s v="492 Main St"/>
    <s v="Gift Card"/>
    <s v="Shipped"/>
    <s v="TRK64926044"/>
    <s v="3"/>
    <s v="Winter15"/>
    <x v="0"/>
    <n v="912.44999999999993"/>
    <n v="243.32"/>
    <n v="669.12999999999988"/>
    <x v="6"/>
  </r>
  <r>
    <s v="ORD200519"/>
    <s v="10/05/2025"/>
    <s v="C71797"/>
    <x v="5"/>
    <s v="4"/>
    <s v="464.29"/>
    <s v="941 Main St"/>
    <s v="Debit Card"/>
    <s v="Returned"/>
    <s v="TRK66010667"/>
    <s v="5"/>
    <s v="Save10"/>
    <x v="2"/>
    <n v="1857.16"/>
    <n v="371.43200000000002"/>
    <n v="1485.7280000000001"/>
    <x v="4"/>
  </r>
  <r>
    <s v="ORD200520"/>
    <s v="10/03/2023"/>
    <s v="C66332"/>
    <x v="0"/>
    <s v="3"/>
    <s v="635.98"/>
    <s v="959 Main St"/>
    <s v="Cash"/>
    <s v="Returned"/>
    <s v="TRK27063398"/>
    <s v="5"/>
    <s v="No Coupon"/>
    <x v="1"/>
    <n v="1907.94"/>
    <n v="508.78399999999999"/>
    <n v="1399.1559999999999"/>
    <x v="9"/>
  </r>
  <r>
    <s v="ORD200521"/>
    <s v="25/02/2024"/>
    <s v="C82318"/>
    <x v="1"/>
    <s v="1"/>
    <s v="528.06"/>
    <s v="991 Main St"/>
    <s v="Credit Card"/>
    <s v="Shipped"/>
    <s v="TRK37534165"/>
    <s v="2"/>
    <s v="No Coupon"/>
    <x v="3"/>
    <n v="528.05999999999995"/>
    <n v="422.44799999999998"/>
    <n v="105.61199999999997"/>
    <x v="2"/>
  </r>
  <r>
    <s v="ORD200523"/>
    <s v="18/02/2025"/>
    <s v="C65083"/>
    <x v="6"/>
    <s v="4"/>
    <s v="657.79"/>
    <s v="652 Main St"/>
    <s v="Credit Card"/>
    <s v="Returned"/>
    <s v="TRK60937148"/>
    <s v="6"/>
    <s v="Winter15"/>
    <x v="4"/>
    <n v="2631.16"/>
    <n v="526.23199999999997"/>
    <n v="2104.9279999999999"/>
    <x v="2"/>
  </r>
  <r>
    <s v="ORD200530"/>
    <s v="18/07/2024"/>
    <s v="C98450"/>
    <x v="3"/>
    <s v="4"/>
    <s v="89.41"/>
    <s v="613 Main St"/>
    <s v="Online"/>
    <s v="Pending"/>
    <s v="TRK14809530"/>
    <s v="9"/>
    <s v="No Coupon"/>
    <x v="4"/>
    <n v="357.64"/>
    <n v="71.527999999999992"/>
    <n v="286.11199999999997"/>
    <x v="10"/>
  </r>
  <r>
    <s v="ORD200536"/>
    <s v="09/06/2024"/>
    <s v="C18724"/>
    <x v="3"/>
    <s v="1"/>
    <s v="616.1"/>
    <s v="124 Main St"/>
    <s v="Cash"/>
    <s v="Returned"/>
    <s v="TRK52508861"/>
    <s v="6"/>
    <s v="No Coupon"/>
    <x v="2"/>
    <n v="616.1"/>
    <n v="492.88"/>
    <n v="123.22000000000003"/>
    <x v="5"/>
  </r>
  <r>
    <s v="ORD200540"/>
    <s v="29/01/2024"/>
    <s v="C87281"/>
    <x v="5"/>
    <s v="5"/>
    <s v="648.65"/>
    <s v="852 Main St"/>
    <s v="Online"/>
    <s v="Pending"/>
    <s v="TRK81765057"/>
    <s v="7"/>
    <s v="No Coupon"/>
    <x v="1"/>
    <n v="3243.25"/>
    <n v="518.91999999999996"/>
    <n v="2724.33"/>
    <x v="0"/>
  </r>
  <r>
    <s v="ORD200541"/>
    <s v="07/08/2023"/>
    <s v="C69009"/>
    <x v="4"/>
    <s v="5"/>
    <s v="456.06"/>
    <s v="879 Main St"/>
    <s v="Cash"/>
    <s v="Pending"/>
    <s v="TRK61295842"/>
    <s v="10"/>
    <s v="No Coupon"/>
    <x v="0"/>
    <n v="2280.3000000000002"/>
    <n v="364.84800000000001"/>
    <n v="1915.4520000000002"/>
    <x v="1"/>
  </r>
  <r>
    <s v="ORD200544"/>
    <s v="10/03/2024"/>
    <s v="C48713"/>
    <x v="4"/>
    <s v="5"/>
    <s v="31.96"/>
    <s v="373 Main St"/>
    <s v="Credit Card"/>
    <s v="Returned"/>
    <s v="TRK96334419"/>
    <s v="5"/>
    <s v="Freeship"/>
    <x v="1"/>
    <n v="159.80000000000001"/>
    <n v="25.568000000000001"/>
    <n v="134.232"/>
    <x v="9"/>
  </r>
  <r>
    <s v="ORD200553"/>
    <s v="23/08/2023"/>
    <s v="C82550"/>
    <x v="1"/>
    <s v="2"/>
    <s v="333.83"/>
    <s v="828 Main St"/>
    <s v="Gift Card"/>
    <s v="Cancelled"/>
    <s v="TRK74103758"/>
    <s v="4"/>
    <s v="Freeship"/>
    <x v="1"/>
    <n v="667.66"/>
    <n v="267.06399999999996"/>
    <n v="400.596"/>
    <x v="1"/>
  </r>
  <r>
    <s v="ORD200556"/>
    <s v="28/01/2023"/>
    <s v="C30923"/>
    <x v="5"/>
    <s v="1"/>
    <s v="654.27"/>
    <s v="932 Main St"/>
    <s v="Gift Card"/>
    <s v="Pending"/>
    <s v="TRK82609328"/>
    <s v="2"/>
    <s v="Save10"/>
    <x v="3"/>
    <n v="654.27"/>
    <n v="523.41599999999994"/>
    <n v="130.85400000000004"/>
    <x v="0"/>
  </r>
  <r>
    <s v="ORD200558"/>
    <s v="16/07/2024"/>
    <s v="C76766"/>
    <x v="1"/>
    <s v="4"/>
    <s v="628.12"/>
    <s v="485 Main St"/>
    <s v="Online"/>
    <s v="Delivered"/>
    <s v="TRK32052962"/>
    <s v="6"/>
    <s v="Winter15"/>
    <x v="0"/>
    <n v="2512.48"/>
    <n v="502.49599999999998"/>
    <n v="2009.9839999999999"/>
    <x v="10"/>
  </r>
  <r>
    <s v="ORD200560"/>
    <s v="31/01/2023"/>
    <s v="C33634"/>
    <x v="0"/>
    <s v="4"/>
    <s v="588.85"/>
    <s v="524 Main St"/>
    <s v="Gift Card"/>
    <s v="Pending"/>
    <s v="TRK93168008"/>
    <s v="7"/>
    <s v="No Coupon"/>
    <x v="2"/>
    <n v="2355.4"/>
    <n v="471.08000000000004"/>
    <n v="1884.3200000000002"/>
    <x v="0"/>
  </r>
  <r>
    <s v="ORD200563"/>
    <s v="12/12/2023"/>
    <s v="C12039"/>
    <x v="5"/>
    <s v="1"/>
    <s v="132.68"/>
    <s v="844 Main St"/>
    <s v="Debit Card"/>
    <s v="Returned"/>
    <s v="TRK68645763"/>
    <s v="1"/>
    <s v="Save10"/>
    <x v="1"/>
    <n v="132.68"/>
    <n v="106.14400000000001"/>
    <n v="26.536000000000001"/>
    <x v="8"/>
  </r>
  <r>
    <s v="ORD200564"/>
    <s v="08/04/2025"/>
    <s v="C93309"/>
    <x v="6"/>
    <s v="5"/>
    <s v="364.28"/>
    <s v="734 Main St"/>
    <s v="Credit Card"/>
    <s v="Cancelled"/>
    <s v="TRK99446987"/>
    <s v="5"/>
    <s v="Winter15"/>
    <x v="4"/>
    <n v="1821.3999999999999"/>
    <n v="291.42399999999998"/>
    <n v="1529.9759999999999"/>
    <x v="6"/>
  </r>
  <r>
    <s v="ORD200565"/>
    <s v="14/05/2023"/>
    <s v="C62042"/>
    <x v="2"/>
    <s v="5"/>
    <s v="307.98"/>
    <s v="214 Main St"/>
    <s v="Online"/>
    <s v="Pending"/>
    <s v="TRK42605492"/>
    <s v="10"/>
    <s v="No Coupon"/>
    <x v="3"/>
    <n v="1539.9"/>
    <n v="246.38400000000001"/>
    <n v="1293.5160000000001"/>
    <x v="4"/>
  </r>
  <r>
    <s v="ORD200567"/>
    <s v="30/09/2024"/>
    <s v="C92575"/>
    <x v="3"/>
    <s v="5"/>
    <s v="492.94"/>
    <s v="153 Main St"/>
    <s v="Cash"/>
    <s v="Shipped"/>
    <s v="TRK53579227"/>
    <s v="10"/>
    <s v="Freeship"/>
    <x v="2"/>
    <n v="2464.6999999999998"/>
    <n v="394.35199999999998"/>
    <n v="2070.348"/>
    <x v="11"/>
  </r>
  <r>
    <s v="ORD200571"/>
    <s v="23/11/2024"/>
    <s v="C42365"/>
    <x v="2"/>
    <s v="1"/>
    <s v="214.08"/>
    <s v="867 Main St"/>
    <s v="Gift Card"/>
    <s v="Returned"/>
    <s v="TRK39563288"/>
    <s v="2"/>
    <s v="Winter15"/>
    <x v="4"/>
    <n v="214.08"/>
    <n v="171.26400000000001"/>
    <n v="42.816000000000003"/>
    <x v="7"/>
  </r>
  <r>
    <s v="ORD200584"/>
    <s v="21/03/2025"/>
    <s v="C15257"/>
    <x v="3"/>
    <s v="4"/>
    <s v="145.05"/>
    <s v="626 Main St"/>
    <s v="Online"/>
    <s v="Delivered"/>
    <s v="TRK28779938"/>
    <s v="6"/>
    <s v="Save10"/>
    <x v="4"/>
    <n v="580.20000000000005"/>
    <n v="116.04"/>
    <n v="464.16"/>
    <x v="9"/>
  </r>
  <r>
    <s v="ORD200587"/>
    <s v="12/06/2023"/>
    <s v="C18820"/>
    <x v="0"/>
    <s v="5"/>
    <s v="514.6"/>
    <s v="347 Main St"/>
    <s v="Gift Card"/>
    <s v="Delivered"/>
    <s v="TRK91547425"/>
    <s v="10"/>
    <s v="Freeship"/>
    <x v="0"/>
    <n v="2573"/>
    <n v="411.68"/>
    <n v="2161.3200000000002"/>
    <x v="5"/>
  </r>
  <r>
    <s v="ORD200589"/>
    <s v="10/02/2025"/>
    <s v="C84041"/>
    <x v="5"/>
    <s v="2"/>
    <s v="500.8"/>
    <s v="900 Main St"/>
    <s v="Cash"/>
    <s v="Delivered"/>
    <s v="TRK84920444"/>
    <s v="3"/>
    <s v="Freeship"/>
    <x v="1"/>
    <n v="1001.6"/>
    <n v="400.64"/>
    <n v="600.96"/>
    <x v="2"/>
  </r>
  <r>
    <s v="ORD200590"/>
    <s v="10/09/2023"/>
    <s v="C55757"/>
    <x v="4"/>
    <s v="2"/>
    <s v="461.13"/>
    <s v="175 Main St"/>
    <s v="Gift Card"/>
    <s v="Returned"/>
    <s v="TRK27356242"/>
    <s v="4"/>
    <s v="No Coupon"/>
    <x v="2"/>
    <n v="922.26"/>
    <n v="368.904"/>
    <n v="553.35599999999999"/>
    <x v="11"/>
  </r>
  <r>
    <s v="ORD200595"/>
    <s v="10/01/2025"/>
    <s v="C72596"/>
    <x v="4"/>
    <s v="2"/>
    <s v="385.16"/>
    <s v="491 Main St"/>
    <s v="Online"/>
    <s v="Pending"/>
    <s v="TRK83870446"/>
    <s v="7"/>
    <s v="Save10"/>
    <x v="2"/>
    <n v="770.32"/>
    <n v="308.12800000000004"/>
    <n v="462.19200000000001"/>
    <x v="0"/>
  </r>
  <r>
    <s v="ORD200597"/>
    <s v="25/11/2024"/>
    <s v="C40538"/>
    <x v="6"/>
    <s v="2"/>
    <s v="211.82"/>
    <s v="700 Main St"/>
    <s v="Gift Card"/>
    <s v="Cancelled"/>
    <s v="TRK29821356"/>
    <s v="4"/>
    <s v="Winter15"/>
    <x v="2"/>
    <n v="423.64"/>
    <n v="169.45599999999999"/>
    <n v="254.184"/>
    <x v="7"/>
  </r>
  <r>
    <s v="ORD200603"/>
    <s v="04/10/2024"/>
    <s v="C26223"/>
    <x v="2"/>
    <s v="1"/>
    <s v="657.07"/>
    <s v="800 Main St"/>
    <s v="Cash"/>
    <s v="Pending"/>
    <s v="TRK50900547"/>
    <s v="4"/>
    <s v="Save10"/>
    <x v="4"/>
    <n v="657.07"/>
    <n v="525.65600000000006"/>
    <n v="131.41399999999999"/>
    <x v="3"/>
  </r>
  <r>
    <s v="ORD200616"/>
    <s v="17/10/2024"/>
    <s v="C43919"/>
    <x v="2"/>
    <s v="3"/>
    <s v="601.6"/>
    <s v="984 Main St"/>
    <s v="Credit Card"/>
    <s v="Cancelled"/>
    <s v="TRK73113192"/>
    <s v="7"/>
    <s v="Save10"/>
    <x v="3"/>
    <n v="1804.8000000000002"/>
    <n v="481.28000000000003"/>
    <n v="1323.5200000000002"/>
    <x v="3"/>
  </r>
  <r>
    <s v="ORD200617"/>
    <s v="08/02/2024"/>
    <s v="C57093"/>
    <x v="2"/>
    <s v="3"/>
    <s v="184.47"/>
    <s v="834 Main St"/>
    <s v="Online"/>
    <s v="Cancelled"/>
    <s v="TRK75469057"/>
    <s v="4"/>
    <s v="No Coupon"/>
    <x v="1"/>
    <n v="553.41"/>
    <n v="147.57599999999999"/>
    <n v="405.83399999999995"/>
    <x v="2"/>
  </r>
  <r>
    <s v="ORD200618"/>
    <s v="03/09/2024"/>
    <s v="C50565"/>
    <x v="2"/>
    <s v="1"/>
    <s v="411.34"/>
    <s v="399 Main St"/>
    <s v="Debit Card"/>
    <s v="Returned"/>
    <s v="TRK97981418"/>
    <s v="5"/>
    <s v="No Coupon"/>
    <x v="0"/>
    <n v="411.34"/>
    <n v="329.072"/>
    <n v="82.267999999999972"/>
    <x v="11"/>
  </r>
  <r>
    <s v="ORD200620"/>
    <s v="27/03/2024"/>
    <s v="C84834"/>
    <x v="2"/>
    <s v="3"/>
    <s v="136.34"/>
    <s v="866 Main St"/>
    <s v="Debit Card"/>
    <s v="Returned"/>
    <s v="TRK90136001"/>
    <s v="8"/>
    <s v="Save10"/>
    <x v="1"/>
    <n v="409.02"/>
    <n v="109.072"/>
    <n v="299.94799999999998"/>
    <x v="9"/>
  </r>
  <r>
    <s v="ORD200624"/>
    <s v="16/01/2024"/>
    <s v="C25967"/>
    <x v="2"/>
    <s v="5"/>
    <s v="341.96"/>
    <s v="747 Main St"/>
    <s v="Debit Card"/>
    <s v="Delivered"/>
    <s v="TRK88559278"/>
    <s v="6"/>
    <s v="No Coupon"/>
    <x v="2"/>
    <n v="1709.8"/>
    <n v="273.56799999999998"/>
    <n v="1436.232"/>
    <x v="0"/>
  </r>
  <r>
    <s v="ORD200625"/>
    <s v="24/09/2023"/>
    <s v="C22123"/>
    <x v="2"/>
    <s v="1"/>
    <s v="672.89"/>
    <s v="519 Main St"/>
    <s v="Credit Card"/>
    <s v="Pending"/>
    <s v="TRK43250279"/>
    <s v="1"/>
    <s v="Winter15"/>
    <x v="2"/>
    <n v="672.89"/>
    <n v="538.31200000000001"/>
    <n v="134.57799999999997"/>
    <x v="11"/>
  </r>
  <r>
    <s v="ORD200628"/>
    <s v="26/03/2023"/>
    <s v="C18717"/>
    <x v="4"/>
    <s v="5"/>
    <s v="558.63"/>
    <s v="861 Main St"/>
    <s v="Cash"/>
    <s v="Pending"/>
    <s v="TRK58568806"/>
    <s v="8"/>
    <s v="Freeship"/>
    <x v="1"/>
    <n v="2793.15"/>
    <n v="446.904"/>
    <n v="2346.2460000000001"/>
    <x v="9"/>
  </r>
  <r>
    <s v="ORD200629"/>
    <s v="07/07/2023"/>
    <s v="C50137"/>
    <x v="1"/>
    <s v="3"/>
    <s v="19.73"/>
    <s v="840 Main St"/>
    <s v="Online"/>
    <s v="Pending"/>
    <s v="TRK91836131"/>
    <s v="3"/>
    <s v="No Coupon"/>
    <x v="1"/>
    <n v="59.19"/>
    <n v="15.784000000000001"/>
    <n v="43.405999999999999"/>
    <x v="10"/>
  </r>
  <r>
    <s v="ORD200630"/>
    <s v="23/06/2023"/>
    <s v="C51481"/>
    <x v="0"/>
    <s v="5"/>
    <s v="248.84"/>
    <s v="140 Main St"/>
    <s v="Debit Card"/>
    <s v="Cancelled"/>
    <s v="TRK33437701"/>
    <s v="10"/>
    <s v="No Coupon"/>
    <x v="0"/>
    <n v="1244.2"/>
    <n v="199.072"/>
    <n v="1045.1280000000002"/>
    <x v="5"/>
  </r>
  <r>
    <s v="ORD200637"/>
    <s v="29/09/2024"/>
    <s v="C92294"/>
    <x v="3"/>
    <s v="4"/>
    <s v="306.35"/>
    <s v="784 Main St"/>
    <s v="Gift Card"/>
    <s v="Shipped"/>
    <s v="TRK23585765"/>
    <s v="7"/>
    <s v="Winter15"/>
    <x v="1"/>
    <n v="1225.4000000000001"/>
    <n v="245.08"/>
    <n v="980.32"/>
    <x v="11"/>
  </r>
  <r>
    <s v="ORD200642"/>
    <s v="29/04/2024"/>
    <s v="C15063"/>
    <x v="3"/>
    <s v="5"/>
    <s v="85.22"/>
    <s v="527 Main St"/>
    <s v="Credit Card"/>
    <s v="Cancelled"/>
    <s v="TRK10329390"/>
    <s v="7"/>
    <s v="Freeship"/>
    <x v="2"/>
    <n v="426.1"/>
    <n v="68.176000000000002"/>
    <n v="357.92400000000004"/>
    <x v="6"/>
  </r>
  <r>
    <s v="ORD200648"/>
    <s v="18/01/2025"/>
    <s v="C89674"/>
    <x v="0"/>
    <s v="2"/>
    <s v="575.83"/>
    <s v="182 Main St"/>
    <s v="Online"/>
    <s v="Delivered"/>
    <s v="TRK45902512"/>
    <s v="3"/>
    <s v="Winter15"/>
    <x v="1"/>
    <n v="1151.6600000000001"/>
    <n v="460.66400000000004"/>
    <n v="690.99600000000009"/>
    <x v="0"/>
  </r>
  <r>
    <s v="ORD200652"/>
    <s v="05/06/2024"/>
    <s v="C71473"/>
    <x v="3"/>
    <s v="5"/>
    <s v="341.84"/>
    <s v="328 Main St"/>
    <s v="Online"/>
    <s v="Shipped"/>
    <s v="TRK94857335"/>
    <s v="8"/>
    <s v="Freeship"/>
    <x v="0"/>
    <n v="1709.1999999999998"/>
    <n v="273.47199999999998"/>
    <n v="1435.7279999999998"/>
    <x v="5"/>
  </r>
  <r>
    <s v="ORD200659"/>
    <s v="26/10/2024"/>
    <s v="C24301"/>
    <x v="1"/>
    <s v="2"/>
    <s v="642.04"/>
    <s v="964 Main St"/>
    <s v="Gift Card"/>
    <s v="Delivered"/>
    <s v="TRK55000075"/>
    <s v="4"/>
    <s v="Winter15"/>
    <x v="2"/>
    <n v="1284.08"/>
    <n v="513.63199999999995"/>
    <n v="770.44799999999998"/>
    <x v="3"/>
  </r>
  <r>
    <s v="ORD200669"/>
    <s v="05/02/2023"/>
    <s v="C60547"/>
    <x v="6"/>
    <s v="1"/>
    <s v="257"/>
    <s v="812 Main St"/>
    <s v="Debit Card"/>
    <s v="Cancelled"/>
    <s v="TRK65694249"/>
    <s v="5"/>
    <s v="No Coupon"/>
    <x v="1"/>
    <n v="257"/>
    <n v="205.6"/>
    <n v="51.400000000000006"/>
    <x v="2"/>
  </r>
  <r>
    <s v="ORD200674"/>
    <s v="09/01/2024"/>
    <s v="C56928"/>
    <x v="5"/>
    <s v="4"/>
    <s v="358.75"/>
    <s v="860 Main St"/>
    <s v="Gift Card"/>
    <s v="Delivered"/>
    <s v="TRK57792939"/>
    <s v="9"/>
    <s v="Save10"/>
    <x v="3"/>
    <n v="1435"/>
    <n v="287"/>
    <n v="1148"/>
    <x v="0"/>
  </r>
  <r>
    <s v="ORD200681"/>
    <s v="30/01/2024"/>
    <s v="C38262"/>
    <x v="2"/>
    <s v="1"/>
    <s v="155.27"/>
    <s v="548 Main St"/>
    <s v="Debit Card"/>
    <s v="Shipped"/>
    <s v="TRK47300502"/>
    <s v="6"/>
    <s v="No Coupon"/>
    <x v="2"/>
    <n v="155.27000000000001"/>
    <n v="124.21600000000001"/>
    <n v="31.054000000000002"/>
    <x v="0"/>
  </r>
  <r>
    <s v="ORD200683"/>
    <s v="18/05/2025"/>
    <s v="C91591"/>
    <x v="6"/>
    <s v="4"/>
    <s v="652.48"/>
    <s v="887 Main St"/>
    <s v="Cash"/>
    <s v="Pending"/>
    <s v="TRK23554043"/>
    <s v="5"/>
    <s v="Freeship"/>
    <x v="0"/>
    <n v="2609.92"/>
    <n v="521.98400000000004"/>
    <n v="2087.9360000000001"/>
    <x v="4"/>
  </r>
  <r>
    <s v="ORD200684"/>
    <s v="22/09/2024"/>
    <s v="C96583"/>
    <x v="4"/>
    <s v="4"/>
    <s v="34.84"/>
    <s v="288 Main St"/>
    <s v="Credit Card"/>
    <s v="Shipped"/>
    <s v="TRK64353241"/>
    <s v="8"/>
    <s v="No Coupon"/>
    <x v="2"/>
    <n v="139.36000000000001"/>
    <n v="27.872000000000003"/>
    <n v="111.48800000000001"/>
    <x v="11"/>
  </r>
  <r>
    <s v="ORD200685"/>
    <s v="07/02/2025"/>
    <s v="C64579"/>
    <x v="6"/>
    <s v="1"/>
    <s v="234.37"/>
    <s v="638 Main St"/>
    <s v="Debit Card"/>
    <s v="Shipped"/>
    <s v="TRK10276565"/>
    <s v="5"/>
    <s v="Freeship"/>
    <x v="2"/>
    <n v="234.37"/>
    <n v="187.49600000000001"/>
    <n v="46.873999999999995"/>
    <x v="2"/>
  </r>
  <r>
    <s v="ORD200687"/>
    <s v="13/09/2023"/>
    <s v="C19742"/>
    <x v="2"/>
    <s v="1"/>
    <s v="332.09"/>
    <s v="408 Main St"/>
    <s v="Gift Card"/>
    <s v="Returned"/>
    <s v="TRK68845230"/>
    <s v="5"/>
    <s v="Freeship"/>
    <x v="0"/>
    <n v="332.09"/>
    <n v="265.67199999999997"/>
    <n v="66.418000000000006"/>
    <x v="11"/>
  </r>
  <r>
    <s v="ORD200693"/>
    <s v="12/03/2025"/>
    <s v="C62070"/>
    <x v="0"/>
    <s v="1"/>
    <s v="176.58"/>
    <s v="674 Main St"/>
    <s v="Debit Card"/>
    <s v="Returned"/>
    <s v="TRK10267127"/>
    <s v="4"/>
    <s v="No Coupon"/>
    <x v="1"/>
    <n v="176.58"/>
    <n v="141.26400000000001"/>
    <n v="35.316000000000003"/>
    <x v="9"/>
  </r>
  <r>
    <s v="ORD200697"/>
    <s v="04/02/2025"/>
    <s v="C27430"/>
    <x v="4"/>
    <s v="5"/>
    <s v="94.85"/>
    <s v="788 Main St"/>
    <s v="Cash"/>
    <s v="Shipped"/>
    <s v="TRK45025840"/>
    <s v="6"/>
    <s v="Winter15"/>
    <x v="2"/>
    <n v="474.25"/>
    <n v="75.88"/>
    <n v="398.37"/>
    <x v="2"/>
  </r>
  <r>
    <s v="ORD200699"/>
    <s v="13/11/2023"/>
    <s v="C36813"/>
    <x v="5"/>
    <s v="3"/>
    <s v="614.15"/>
    <s v="897 Main St"/>
    <s v="Gift Card"/>
    <s v="Cancelled"/>
    <s v="TRK84088900"/>
    <s v="3"/>
    <s v="No Coupon"/>
    <x v="3"/>
    <n v="1842.4499999999998"/>
    <n v="491.32"/>
    <n v="1351.1299999999999"/>
    <x v="7"/>
  </r>
  <r>
    <s v="ORD200700"/>
    <s v="25/09/2024"/>
    <s v="C40201"/>
    <x v="5"/>
    <s v="2"/>
    <s v="92.91"/>
    <s v="555 Main St"/>
    <s v="Cash"/>
    <s v="Returned"/>
    <s v="TRK30198779"/>
    <s v="3"/>
    <s v="Winter15"/>
    <x v="0"/>
    <n v="185.82"/>
    <n v="74.328000000000003"/>
    <n v="111.49199999999999"/>
    <x v="11"/>
  </r>
  <r>
    <s v="ORD200703"/>
    <s v="22/03/2023"/>
    <s v="C89336"/>
    <x v="6"/>
    <s v="1"/>
    <s v="92.79"/>
    <s v="799 Main St"/>
    <s v="Cash"/>
    <s v="Pending"/>
    <s v="TRK47665103"/>
    <s v="3"/>
    <s v="Winter15"/>
    <x v="2"/>
    <n v="92.79"/>
    <n v="74.231999999999999"/>
    <n v="18.558000000000007"/>
    <x v="9"/>
  </r>
  <r>
    <s v="ORD200705"/>
    <s v="30/03/2025"/>
    <s v="C50114"/>
    <x v="0"/>
    <s v="2"/>
    <s v="49.08"/>
    <s v="420 Main St"/>
    <s v="Debit Card"/>
    <s v="Returned"/>
    <s v="TRK20214786"/>
    <s v="7"/>
    <s v="Freeship"/>
    <x v="0"/>
    <n v="98.16"/>
    <n v="39.263999999999996"/>
    <n v="58.896000000000001"/>
    <x v="9"/>
  </r>
  <r>
    <s v="ORD200711"/>
    <s v="04/07/2024"/>
    <s v="C61070"/>
    <x v="2"/>
    <s v="2"/>
    <s v="475.78"/>
    <s v="632 Main St"/>
    <s v="Online"/>
    <s v="Shipped"/>
    <s v="TRK90764894"/>
    <s v="2"/>
    <s v="Winter15"/>
    <x v="4"/>
    <n v="951.56"/>
    <n v="380.62399999999997"/>
    <n v="570.93599999999992"/>
    <x v="10"/>
  </r>
  <r>
    <s v="ORD200715"/>
    <s v="26/07/2024"/>
    <s v="C68266"/>
    <x v="4"/>
    <s v="3"/>
    <s v="653.63"/>
    <s v="281 Main St"/>
    <s v="Online"/>
    <s v="Delivered"/>
    <s v="TRK96161062"/>
    <s v="7"/>
    <s v="Freeship"/>
    <x v="2"/>
    <n v="1960.8899999999999"/>
    <n v="522.904"/>
    <n v="1437.9859999999999"/>
    <x v="10"/>
  </r>
  <r>
    <s v="ORD200717"/>
    <s v="16/10/2023"/>
    <s v="C50087"/>
    <x v="3"/>
    <s v="3"/>
    <s v="122.11"/>
    <s v="707 Main St"/>
    <s v="Online"/>
    <s v="Delivered"/>
    <s v="TRK31143760"/>
    <s v="4"/>
    <s v="Winter15"/>
    <x v="2"/>
    <n v="366.33"/>
    <n v="97.688000000000002"/>
    <n v="268.642"/>
    <x v="3"/>
  </r>
  <r>
    <s v="ORD200718"/>
    <s v="08/04/2023"/>
    <s v="C16790"/>
    <x v="5"/>
    <s v="4"/>
    <s v="64.74"/>
    <s v="718 Main St"/>
    <s v="Gift Card"/>
    <s v="Cancelled"/>
    <s v="TRK91791367"/>
    <s v="8"/>
    <s v="Save10"/>
    <x v="4"/>
    <n v="258.95999999999998"/>
    <n v="51.791999999999994"/>
    <n v="207.16799999999998"/>
    <x v="6"/>
  </r>
  <r>
    <s v="ORD200719"/>
    <s v="21/01/2024"/>
    <s v="C46920"/>
    <x v="5"/>
    <s v="2"/>
    <s v="681.06"/>
    <s v="703 Main St"/>
    <s v="Debit Card"/>
    <s v="Shipped"/>
    <s v="TRK86403837"/>
    <s v="3"/>
    <s v="Freeship"/>
    <x v="3"/>
    <n v="1362.12"/>
    <n v="544.84799999999996"/>
    <n v="817.27199999999993"/>
    <x v="0"/>
  </r>
  <r>
    <s v="ORD200720"/>
    <s v="21/09/2023"/>
    <s v="C12740"/>
    <x v="6"/>
    <s v="5"/>
    <s v="128.95"/>
    <s v="305 Main St"/>
    <s v="Cash"/>
    <s v="Pending"/>
    <s v="TRK98506513"/>
    <s v="10"/>
    <s v="Freeship"/>
    <x v="0"/>
    <n v="644.75"/>
    <n v="103.16"/>
    <n v="541.59"/>
    <x v="11"/>
  </r>
  <r>
    <s v="ORD200721"/>
    <s v="18/03/2024"/>
    <s v="C46557"/>
    <x v="6"/>
    <s v="2"/>
    <s v="118.59"/>
    <s v="890 Main St"/>
    <s v="Credit Card"/>
    <s v="Delivered"/>
    <s v="TRK56110689"/>
    <s v="2"/>
    <s v="No Coupon"/>
    <x v="2"/>
    <n v="237.18"/>
    <n v="94.872"/>
    <n v="142.30799999999999"/>
    <x v="9"/>
  </r>
  <r>
    <s v="ORD200726"/>
    <s v="25/10/2024"/>
    <s v="C18105"/>
    <x v="5"/>
    <s v="4"/>
    <s v="583.02"/>
    <s v="338 Main St"/>
    <s v="Online"/>
    <s v="Delivered"/>
    <s v="TRK94006117"/>
    <s v="4"/>
    <s v="Freeship"/>
    <x v="3"/>
    <n v="2332.08"/>
    <n v="466.416"/>
    <n v="1865.664"/>
    <x v="3"/>
  </r>
  <r>
    <s v="ORD200728"/>
    <s v="29/07/2024"/>
    <s v="C10154"/>
    <x v="6"/>
    <s v="4"/>
    <s v="325.76"/>
    <s v="827 Main St"/>
    <s v="Gift Card"/>
    <s v="Shipped"/>
    <s v="TRK79793300"/>
    <s v="8"/>
    <s v="Winter15"/>
    <x v="2"/>
    <n v="1303.04"/>
    <n v="260.608"/>
    <n v="1042.432"/>
    <x v="10"/>
  </r>
  <r>
    <s v="ORD200733"/>
    <s v="04/12/2023"/>
    <s v="C90757"/>
    <x v="2"/>
    <s v="4"/>
    <s v="494.84"/>
    <s v="694 Main St"/>
    <s v="Cash"/>
    <s v="Returned"/>
    <s v="TRK87991608"/>
    <s v="8"/>
    <s v="Save10"/>
    <x v="2"/>
    <n v="1979.36"/>
    <n v="395.87199999999996"/>
    <n v="1583.4879999999998"/>
    <x v="8"/>
  </r>
  <r>
    <s v="ORD200735"/>
    <s v="28/06/2024"/>
    <s v="C94508"/>
    <x v="0"/>
    <s v="4"/>
    <s v="44.07"/>
    <s v="359 Main St"/>
    <s v="Debit Card"/>
    <s v="Pending"/>
    <s v="TRK13443264"/>
    <s v="6"/>
    <s v="No Coupon"/>
    <x v="2"/>
    <n v="176.28"/>
    <n v="35.256"/>
    <n v="141.024"/>
    <x v="5"/>
  </r>
  <r>
    <s v="ORD200736"/>
    <s v="09/02/2024"/>
    <s v="C59441"/>
    <x v="0"/>
    <s v="5"/>
    <s v="418.53"/>
    <s v="696 Main St"/>
    <s v="Credit Card"/>
    <s v="Pending"/>
    <s v="TRK66186874"/>
    <s v="6"/>
    <s v="Freeship"/>
    <x v="4"/>
    <n v="2092.6499999999996"/>
    <n v="334.82399999999996"/>
    <n v="1757.8259999999996"/>
    <x v="2"/>
  </r>
  <r>
    <s v="ORD200737"/>
    <s v="03/01/2024"/>
    <s v="C91029"/>
    <x v="1"/>
    <s v="4"/>
    <s v="532.87"/>
    <s v="972 Main St"/>
    <s v="Cash"/>
    <s v="Pending"/>
    <s v="TRK25501930"/>
    <s v="9"/>
    <s v="Freeship"/>
    <x v="0"/>
    <n v="2131.48"/>
    <n v="426.29599999999999"/>
    <n v="1705.184"/>
    <x v="0"/>
  </r>
  <r>
    <s v="ORD200738"/>
    <s v="04/06/2025"/>
    <s v="C96261"/>
    <x v="1"/>
    <s v="2"/>
    <s v="485.37"/>
    <s v="264 Main St"/>
    <s v="Credit Card"/>
    <s v="Shipped"/>
    <s v="TRK44998396"/>
    <s v="5"/>
    <s v="Save10"/>
    <x v="2"/>
    <n v="970.74"/>
    <n v="388.29599999999999"/>
    <n v="582.44399999999996"/>
    <x v="5"/>
  </r>
  <r>
    <s v="ORD200742"/>
    <s v="30/11/2024"/>
    <s v="C41974"/>
    <x v="5"/>
    <s v="3"/>
    <s v="699.93"/>
    <s v="726 Main St"/>
    <s v="Cash"/>
    <s v="Returned"/>
    <s v="TRK48051468"/>
    <s v="7"/>
    <s v="Save10"/>
    <x v="4"/>
    <n v="2099.79"/>
    <n v="559.94399999999996"/>
    <n v="1539.846"/>
    <x v="7"/>
  </r>
  <r>
    <s v="ORD200744"/>
    <s v="12/06/2024"/>
    <s v="C10642"/>
    <x v="2"/>
    <s v="2"/>
    <s v="461.37"/>
    <s v="200 Main St"/>
    <s v="Cash"/>
    <s v="Delivered"/>
    <s v="TRK98725693"/>
    <s v="5"/>
    <s v="Save10"/>
    <x v="4"/>
    <n v="922.74"/>
    <n v="369.096"/>
    <n v="553.64400000000001"/>
    <x v="5"/>
  </r>
  <r>
    <s v="ORD200745"/>
    <s v="02/03/2023"/>
    <s v="C73813"/>
    <x v="4"/>
    <s v="4"/>
    <s v="111.3"/>
    <s v="364 Main St"/>
    <s v="Debit Card"/>
    <s v="Pending"/>
    <s v="TRK89906749"/>
    <s v="7"/>
    <s v="Freeship"/>
    <x v="2"/>
    <n v="445.2"/>
    <n v="89.039999999999992"/>
    <n v="356.15999999999997"/>
    <x v="9"/>
  </r>
  <r>
    <s v="ORD200746"/>
    <s v="24/02/2025"/>
    <s v="C32183"/>
    <x v="6"/>
    <s v="3"/>
    <s v="661.89"/>
    <s v="551 Main St"/>
    <s v="Online"/>
    <s v="Cancelled"/>
    <s v="TRK76287027"/>
    <s v="6"/>
    <s v="Winter15"/>
    <x v="1"/>
    <n v="1985.67"/>
    <n v="529.51199999999994"/>
    <n v="1456.1580000000001"/>
    <x v="2"/>
  </r>
  <r>
    <s v="ORD200749"/>
    <s v="13/04/2025"/>
    <s v="C17551"/>
    <x v="5"/>
    <s v="1"/>
    <s v="518.39"/>
    <s v="997 Main St"/>
    <s v="Debit Card"/>
    <s v="Pending"/>
    <s v="TRK88797170"/>
    <s v="4"/>
    <s v="Freeship"/>
    <x v="0"/>
    <n v="518.39"/>
    <n v="414.71199999999999"/>
    <n v="103.678"/>
    <x v="6"/>
  </r>
  <r>
    <s v="ORD200753"/>
    <s v="24/04/2024"/>
    <s v="C42270"/>
    <x v="1"/>
    <s v="2"/>
    <s v="241.49"/>
    <s v="864 Main St"/>
    <s v="Debit Card"/>
    <s v="Returned"/>
    <s v="TRK72697796"/>
    <s v="7"/>
    <s v="Freeship"/>
    <x v="0"/>
    <n v="482.98"/>
    <n v="193.19200000000001"/>
    <n v="289.78800000000001"/>
    <x v="6"/>
  </r>
  <r>
    <s v="ORD200755"/>
    <s v="13/06/2023"/>
    <s v="C54160"/>
    <x v="6"/>
    <s v="3"/>
    <s v="336.71"/>
    <s v="658 Main St"/>
    <s v="Credit Card"/>
    <s v="Pending"/>
    <s v="TRK60515972"/>
    <s v="4"/>
    <s v="No Coupon"/>
    <x v="2"/>
    <n v="1010.1299999999999"/>
    <n v="269.36799999999999"/>
    <n v="740.76199999999994"/>
    <x v="5"/>
  </r>
  <r>
    <s v="ORD200759"/>
    <s v="24/07/2023"/>
    <s v="C96283"/>
    <x v="6"/>
    <s v="3"/>
    <s v="308.01"/>
    <s v="366 Main St"/>
    <s v="Cash"/>
    <s v="Pending"/>
    <s v="TRK91784124"/>
    <s v="3"/>
    <s v="Freeship"/>
    <x v="3"/>
    <n v="924.03"/>
    <n v="246.40799999999999"/>
    <n v="677.62199999999996"/>
    <x v="10"/>
  </r>
  <r>
    <s v="ORD200770"/>
    <s v="11/02/2024"/>
    <s v="C72166"/>
    <x v="6"/>
    <s v="1"/>
    <s v="314.38"/>
    <s v="227 Main St"/>
    <s v="Online"/>
    <s v="Returned"/>
    <s v="TRK67733444"/>
    <s v="6"/>
    <s v="No Coupon"/>
    <x v="4"/>
    <n v="314.38"/>
    <n v="251.50399999999999"/>
    <n v="62.876000000000005"/>
    <x v="2"/>
  </r>
  <r>
    <s v="ORD200776"/>
    <s v="21/08/2023"/>
    <s v="C69168"/>
    <x v="2"/>
    <s v="1"/>
    <s v="21.19"/>
    <s v="482 Main St"/>
    <s v="Cash"/>
    <s v="Returned"/>
    <s v="TRK10446197"/>
    <s v="5"/>
    <s v="Winter15"/>
    <x v="4"/>
    <n v="21.19"/>
    <n v="16.952000000000002"/>
    <n v="4.2379999999999995"/>
    <x v="1"/>
  </r>
  <r>
    <s v="ORD200782"/>
    <s v="11/08/2024"/>
    <s v="C58063"/>
    <x v="0"/>
    <s v="2"/>
    <s v="493.63"/>
    <s v="167 Main St"/>
    <s v="Online"/>
    <s v="Returned"/>
    <s v="TRK50548869"/>
    <s v="6"/>
    <s v="Save10"/>
    <x v="1"/>
    <n v="987.26"/>
    <n v="394.904"/>
    <n v="592.35599999999999"/>
    <x v="1"/>
  </r>
  <r>
    <s v="ORD200785"/>
    <s v="29/07/2023"/>
    <s v="C45862"/>
    <x v="3"/>
    <s v="1"/>
    <s v="176.1"/>
    <s v="342 Main St"/>
    <s v="Credit Card"/>
    <s v="Pending"/>
    <s v="TRK53089983"/>
    <s v="1"/>
    <s v="Save10"/>
    <x v="0"/>
    <n v="176.1"/>
    <n v="140.88"/>
    <n v="35.22"/>
    <x v="10"/>
  </r>
  <r>
    <s v="ORD200787"/>
    <s v="17/03/2024"/>
    <s v="C18167"/>
    <x v="6"/>
    <s v="4"/>
    <s v="221.96"/>
    <s v="193 Main St"/>
    <s v="Cash"/>
    <s v="Delivered"/>
    <s v="TRK36841089"/>
    <s v="7"/>
    <s v="No Coupon"/>
    <x v="4"/>
    <n v="887.84"/>
    <n v="177.56800000000001"/>
    <n v="710.27200000000005"/>
    <x v="9"/>
  </r>
  <r>
    <s v="ORD200789"/>
    <s v="17/08/2023"/>
    <s v="C57276"/>
    <x v="2"/>
    <s v="5"/>
    <s v="691.28"/>
    <s v="183 Main St"/>
    <s v="Online"/>
    <s v="Delivered"/>
    <s v="TRK75899752"/>
    <s v="10"/>
    <s v="Save10"/>
    <x v="2"/>
    <n v="3456.3999999999996"/>
    <n v="553.024"/>
    <n v="2903.3759999999997"/>
    <x v="1"/>
  </r>
  <r>
    <s v="ORD200795"/>
    <s v="20/11/2024"/>
    <s v="C95667"/>
    <x v="5"/>
    <s v="4"/>
    <s v="115.77"/>
    <s v="586 Main St"/>
    <s v="Online"/>
    <s v="Pending"/>
    <s v="TRK41266666"/>
    <s v="7"/>
    <s v="Save10"/>
    <x v="0"/>
    <n v="463.08"/>
    <n v="92.616"/>
    <n v="370.464"/>
    <x v="7"/>
  </r>
  <r>
    <s v="ORD200804"/>
    <s v="01/01/2024"/>
    <s v="C76362"/>
    <x v="3"/>
    <s v="3"/>
    <s v="236.5"/>
    <s v="916 Main St"/>
    <s v="Online"/>
    <s v="Delivered"/>
    <s v="TRK11868618"/>
    <s v="8"/>
    <s v="Freeship"/>
    <x v="2"/>
    <n v="709.5"/>
    <n v="189.2"/>
    <n v="520.29999999999995"/>
    <x v="0"/>
  </r>
  <r>
    <s v="ORD200808"/>
    <s v="13/02/2024"/>
    <s v="C65565"/>
    <x v="6"/>
    <s v="3"/>
    <s v="134.05"/>
    <s v="192 Main St"/>
    <s v="Credit Card"/>
    <s v="Shipped"/>
    <s v="TRK80383756"/>
    <s v="3"/>
    <s v="No Coupon"/>
    <x v="4"/>
    <n v="402.15000000000003"/>
    <n v="107.24000000000001"/>
    <n v="294.91000000000003"/>
    <x v="2"/>
  </r>
  <r>
    <s v="ORD200810"/>
    <s v="31/05/2023"/>
    <s v="C23637"/>
    <x v="2"/>
    <s v="1"/>
    <s v="553.56"/>
    <s v="644 Main St"/>
    <s v="Credit Card"/>
    <s v="Cancelled"/>
    <s v="TRK16749863"/>
    <s v="5"/>
    <s v="No Coupon"/>
    <x v="1"/>
    <n v="553.55999999999995"/>
    <n v="442.84799999999996"/>
    <n v="110.71199999999999"/>
    <x v="4"/>
  </r>
  <r>
    <s v="ORD200815"/>
    <s v="04/08/2024"/>
    <s v="C41320"/>
    <x v="4"/>
    <s v="3"/>
    <s v="569.84"/>
    <s v="920 Main St"/>
    <s v="Gift Card"/>
    <s v="Cancelled"/>
    <s v="TRK77539180"/>
    <s v="8"/>
    <s v="Winter15"/>
    <x v="0"/>
    <n v="1709.52"/>
    <n v="455.87200000000001"/>
    <n v="1253.6479999999999"/>
    <x v="1"/>
  </r>
  <r>
    <s v="ORD200823"/>
    <s v="07/10/2024"/>
    <s v="C27070"/>
    <x v="5"/>
    <s v="4"/>
    <s v="653.13"/>
    <s v="973 Main St"/>
    <s v="Credit Card"/>
    <s v="Shipped"/>
    <s v="TRK83842481"/>
    <s v="8"/>
    <s v="Winter15"/>
    <x v="0"/>
    <n v="2612.52"/>
    <n v="522.50400000000002"/>
    <n v="2090.0160000000001"/>
    <x v="3"/>
  </r>
  <r>
    <s v="ORD200827"/>
    <s v="25/05/2023"/>
    <s v="C95856"/>
    <x v="2"/>
    <s v="2"/>
    <s v="639.88"/>
    <s v="432 Main St"/>
    <s v="Cash"/>
    <s v="Delivered"/>
    <s v="TRK58829625"/>
    <s v="5"/>
    <s v="Winter15"/>
    <x v="0"/>
    <n v="1279.76"/>
    <n v="511.904"/>
    <n v="767.85599999999999"/>
    <x v="4"/>
  </r>
  <r>
    <s v="ORD200837"/>
    <s v="14/06/2025"/>
    <s v="C88029"/>
    <x v="3"/>
    <s v="5"/>
    <s v="655.55"/>
    <s v="282 Main St"/>
    <s v="Online"/>
    <s v="Delivered"/>
    <s v="TRK59701278"/>
    <s v="5"/>
    <s v="No Coupon"/>
    <x v="2"/>
    <n v="3277.75"/>
    <n v="524.43999999999994"/>
    <n v="2753.31"/>
    <x v="5"/>
  </r>
  <r>
    <s v="ORD200841"/>
    <s v="19/09/2024"/>
    <s v="C94658"/>
    <x v="4"/>
    <s v="2"/>
    <s v="443.22"/>
    <s v="742 Main St"/>
    <s v="Credit Card"/>
    <s v="Delivered"/>
    <s v="TRK51732528"/>
    <s v="5"/>
    <s v="No Coupon"/>
    <x v="3"/>
    <n v="886.44"/>
    <n v="354.57600000000002"/>
    <n v="531.86400000000003"/>
    <x v="11"/>
  </r>
  <r>
    <s v="ORD200843"/>
    <s v="13/05/2025"/>
    <s v="C43538"/>
    <x v="6"/>
    <s v="3"/>
    <s v="430.06"/>
    <s v="534 Main St"/>
    <s v="Gift Card"/>
    <s v="Cancelled"/>
    <s v="TRK20961563"/>
    <s v="8"/>
    <s v="Freeship"/>
    <x v="0"/>
    <n v="1290.18"/>
    <n v="344.048"/>
    <n v="946.13200000000006"/>
    <x v="4"/>
  </r>
  <r>
    <s v="ORD200844"/>
    <s v="04/12/2024"/>
    <s v="C47486"/>
    <x v="3"/>
    <s v="1"/>
    <s v="320.92"/>
    <s v="883 Main St"/>
    <s v="Online"/>
    <s v="Returned"/>
    <s v="TRK75984759"/>
    <s v="5"/>
    <s v="Freeship"/>
    <x v="3"/>
    <n v="320.92"/>
    <n v="256.73599999999999"/>
    <n v="64.184000000000026"/>
    <x v="8"/>
  </r>
  <r>
    <s v="ORD200849"/>
    <s v="09/06/2025"/>
    <s v="C16675"/>
    <x v="4"/>
    <s v="4"/>
    <s v="214.35"/>
    <s v="664 Main St"/>
    <s v="Debit Card"/>
    <s v="Cancelled"/>
    <s v="TRK12756945"/>
    <s v="7"/>
    <s v="Winter15"/>
    <x v="1"/>
    <n v="857.4"/>
    <n v="171.48"/>
    <n v="685.92"/>
    <x v="5"/>
  </r>
  <r>
    <s v="ORD200859"/>
    <s v="28/08/2024"/>
    <s v="C11127"/>
    <x v="3"/>
    <s v="5"/>
    <s v="261.33"/>
    <s v="154 Main St"/>
    <s v="Credit Card"/>
    <s v="Returned"/>
    <s v="TRK73285507"/>
    <s v="5"/>
    <s v="Save10"/>
    <x v="1"/>
    <n v="1306.6499999999999"/>
    <n v="209.06399999999999"/>
    <n v="1097.5859999999998"/>
    <x v="1"/>
  </r>
  <r>
    <s v="ORD200865"/>
    <s v="30/04/2023"/>
    <s v="C72241"/>
    <x v="0"/>
    <s v="4"/>
    <s v="677.37"/>
    <s v="156 Main St"/>
    <s v="Cash"/>
    <s v="Pending"/>
    <s v="TRK76270481"/>
    <s v="8"/>
    <s v="Save10"/>
    <x v="4"/>
    <n v="2709.48"/>
    <n v="541.89599999999996"/>
    <n v="2167.5839999999998"/>
    <x v="6"/>
  </r>
  <r>
    <s v="ORD200867"/>
    <s v="26/05/2024"/>
    <s v="C53252"/>
    <x v="4"/>
    <s v="4"/>
    <s v="142.58"/>
    <s v="351 Main St"/>
    <s v="Cash"/>
    <s v="Delivered"/>
    <s v="TRK65831261"/>
    <s v="4"/>
    <s v="Freeship"/>
    <x v="3"/>
    <n v="570.32000000000005"/>
    <n v="114.06400000000001"/>
    <n v="456.25600000000003"/>
    <x v="4"/>
  </r>
  <r>
    <s v="ORD200870"/>
    <s v="01/06/2025"/>
    <s v="C78725"/>
    <x v="1"/>
    <s v="4"/>
    <s v="470.09"/>
    <s v="541 Main St"/>
    <s v="Debit Card"/>
    <s v="Delivered"/>
    <s v="TRK72001139"/>
    <s v="4"/>
    <s v="Freeship"/>
    <x v="4"/>
    <n v="1880.36"/>
    <n v="376.072"/>
    <n v="1504.288"/>
    <x v="5"/>
  </r>
  <r>
    <s v="ORD200877"/>
    <s v="25/07/2024"/>
    <s v="C43867"/>
    <x v="2"/>
    <s v="1"/>
    <s v="524.06"/>
    <s v="269 Main St"/>
    <s v="Debit Card"/>
    <s v="Pending"/>
    <s v="TRK97319127"/>
    <s v="3"/>
    <s v="Freeship"/>
    <x v="2"/>
    <n v="524.05999999999995"/>
    <n v="419.24799999999993"/>
    <n v="104.81200000000001"/>
    <x v="10"/>
  </r>
  <r>
    <s v="ORD200878"/>
    <s v="01/06/2023"/>
    <s v="C73873"/>
    <x v="6"/>
    <s v="2"/>
    <s v="330.69"/>
    <s v="393 Main St"/>
    <s v="Online"/>
    <s v="Cancelled"/>
    <s v="TRK56423132"/>
    <s v="5"/>
    <s v="Save10"/>
    <x v="4"/>
    <n v="661.38"/>
    <n v="264.55200000000002"/>
    <n v="396.82799999999997"/>
    <x v="5"/>
  </r>
  <r>
    <s v="ORD200881"/>
    <s v="03/01/2023"/>
    <s v="C59579"/>
    <x v="2"/>
    <s v="2"/>
    <s v="448.85"/>
    <s v="386 Main St"/>
    <s v="Credit Card"/>
    <s v="Pending"/>
    <s v="TRK48000034"/>
    <s v="6"/>
    <s v="No Coupon"/>
    <x v="0"/>
    <n v="897.7"/>
    <n v="359.08000000000004"/>
    <n v="538.62"/>
    <x v="0"/>
  </r>
  <r>
    <s v="ORD200884"/>
    <s v="15/05/2024"/>
    <s v="C71471"/>
    <x v="3"/>
    <s v="1"/>
    <s v="595.54"/>
    <s v="817 Main St"/>
    <s v="Gift Card"/>
    <s v="Shipped"/>
    <s v="TRK52137079"/>
    <s v="4"/>
    <s v="No Coupon"/>
    <x v="0"/>
    <n v="595.54"/>
    <n v="476.43199999999996"/>
    <n v="119.108"/>
    <x v="4"/>
  </r>
  <r>
    <s v="ORD200888"/>
    <s v="23/07/2024"/>
    <s v="C14427"/>
    <x v="5"/>
    <s v="2"/>
    <s v="266.95"/>
    <s v="833 Main St"/>
    <s v="Credit Card"/>
    <s v="Pending"/>
    <s v="TRK58024529"/>
    <s v="3"/>
    <s v="No Coupon"/>
    <x v="0"/>
    <n v="533.9"/>
    <n v="213.56"/>
    <n v="320.33999999999997"/>
    <x v="10"/>
  </r>
  <r>
    <s v="ORD200892"/>
    <s v="04/06/2024"/>
    <s v="C72043"/>
    <x v="6"/>
    <s v="1"/>
    <s v="394.53"/>
    <s v="480 Main St"/>
    <s v="Cash"/>
    <s v="Shipped"/>
    <s v="TRK40896408"/>
    <s v="2"/>
    <s v="Freeship"/>
    <x v="1"/>
    <n v="394.53"/>
    <n v="315.62399999999997"/>
    <n v="78.906000000000006"/>
    <x v="5"/>
  </r>
  <r>
    <s v="ORD200895"/>
    <s v="09/11/2023"/>
    <s v="C81882"/>
    <x v="3"/>
    <s v="3"/>
    <s v="154.64"/>
    <s v="832 Main St"/>
    <s v="Debit Card"/>
    <s v="Pending"/>
    <s v="TRK62371264"/>
    <s v="6"/>
    <s v="Winter15"/>
    <x v="3"/>
    <n v="463.91999999999996"/>
    <n v="123.71199999999999"/>
    <n v="340.20799999999997"/>
    <x v="7"/>
  </r>
  <r>
    <s v="ORD200911"/>
    <s v="13/08/2024"/>
    <s v="C80872"/>
    <x v="6"/>
    <s v="5"/>
    <s v="396.86"/>
    <s v="593 Main St"/>
    <s v="Cash"/>
    <s v="Cancelled"/>
    <s v="TRK43967487"/>
    <s v="9"/>
    <s v="Save10"/>
    <x v="0"/>
    <n v="1984.3000000000002"/>
    <n v="317.488"/>
    <n v="1666.8120000000001"/>
    <x v="1"/>
  </r>
  <r>
    <s v="ORD200915"/>
    <s v="16/02/2024"/>
    <s v="C20643"/>
    <x v="5"/>
    <s v="4"/>
    <s v="502.99"/>
    <s v="939 Main St"/>
    <s v="Debit Card"/>
    <s v="Shipped"/>
    <s v="TRK30736692"/>
    <s v="4"/>
    <s v="Winter15"/>
    <x v="1"/>
    <n v="2011.96"/>
    <n v="402.392"/>
    <n v="1609.568"/>
    <x v="2"/>
  </r>
  <r>
    <s v="ORD200916"/>
    <s v="21/06/2024"/>
    <s v="C35669"/>
    <x v="4"/>
    <s v="5"/>
    <s v="578.83"/>
    <s v="165 Main St"/>
    <s v="Cash"/>
    <s v="Returned"/>
    <s v="TRK13928455"/>
    <s v="6"/>
    <s v="No Coupon"/>
    <x v="1"/>
    <n v="2894.15"/>
    <n v="463.06400000000002"/>
    <n v="2431.0860000000002"/>
    <x v="5"/>
  </r>
  <r>
    <s v="ORD200917"/>
    <s v="20/01/2025"/>
    <s v="C65524"/>
    <x v="5"/>
    <s v="5"/>
    <s v="383.82"/>
    <s v="836 Main St"/>
    <s v="Credit Card"/>
    <s v="Returned"/>
    <s v="TRK19315310"/>
    <s v="7"/>
    <s v="Freeship"/>
    <x v="4"/>
    <n v="1919.1"/>
    <n v="307.05599999999998"/>
    <n v="1612.0439999999999"/>
    <x v="0"/>
  </r>
  <r>
    <s v="ORD200922"/>
    <s v="17/06/2024"/>
    <s v="C81857"/>
    <x v="6"/>
    <s v="2"/>
    <s v="563.82"/>
    <s v="487 Main St"/>
    <s v="Credit Card"/>
    <s v="Pending"/>
    <s v="TRK79737732"/>
    <s v="3"/>
    <s v="No Coupon"/>
    <x v="0"/>
    <n v="1127.6400000000001"/>
    <n v="451.05600000000004"/>
    <n v="676.58400000000006"/>
    <x v="5"/>
  </r>
  <r>
    <s v="ORD200928"/>
    <s v="09/05/2024"/>
    <s v="C77166"/>
    <x v="5"/>
    <s v="3"/>
    <s v="247.11"/>
    <s v="821 Main St"/>
    <s v="Debit Card"/>
    <s v="Returned"/>
    <s v="TRK18896595"/>
    <s v="3"/>
    <s v="Winter15"/>
    <x v="1"/>
    <n v="741.33"/>
    <n v="197.68800000000002"/>
    <n v="543.64200000000005"/>
    <x v="4"/>
  </r>
  <r>
    <s v="ORD200939"/>
    <s v="16/04/2025"/>
    <s v="C48510"/>
    <x v="5"/>
    <s v="2"/>
    <s v="521.4"/>
    <s v="212 Main St"/>
    <s v="Cash"/>
    <s v="Delivered"/>
    <s v="TRK53152886"/>
    <s v="7"/>
    <s v="Save10"/>
    <x v="0"/>
    <n v="1042.8"/>
    <n v="417.12"/>
    <n v="625.67999999999995"/>
    <x v="6"/>
  </r>
  <r>
    <s v="ORD200954"/>
    <s v="22/10/2024"/>
    <s v="C68609"/>
    <x v="3"/>
    <s v="3"/>
    <s v="443.44"/>
    <s v="240 Main St"/>
    <s v="Gift Card"/>
    <s v="Shipped"/>
    <s v="TRK58273778"/>
    <s v="3"/>
    <s v="Freeship"/>
    <x v="4"/>
    <n v="1330.32"/>
    <n v="354.75200000000001"/>
    <n v="975.56799999999998"/>
    <x v="3"/>
  </r>
  <r>
    <s v="ORD200957"/>
    <s v="12/01/2023"/>
    <s v="C73575"/>
    <x v="0"/>
    <s v="5"/>
    <s v="643.89"/>
    <s v="851 Main St"/>
    <s v="Cash"/>
    <s v="Returned"/>
    <s v="TRK23387612"/>
    <s v="8"/>
    <s v="Winter15"/>
    <x v="3"/>
    <n v="3219.45"/>
    <n v="515.11199999999997"/>
    <n v="2704.3379999999997"/>
    <x v="0"/>
  </r>
  <r>
    <s v="ORD200965"/>
    <s v="18/06/2025"/>
    <s v="C70412"/>
    <x v="5"/>
    <s v="4"/>
    <s v="578.28"/>
    <s v="791 Main St"/>
    <s v="Gift Card"/>
    <s v="Cancelled"/>
    <s v="TRK22192783"/>
    <s v="5"/>
    <s v="Freeship"/>
    <x v="2"/>
    <n v="2313.12"/>
    <n v="462.62399999999997"/>
    <n v="1850.4959999999999"/>
    <x v="5"/>
  </r>
  <r>
    <s v="ORD200966"/>
    <s v="20/05/2025"/>
    <s v="C58503"/>
    <x v="0"/>
    <s v="5"/>
    <s v="280.52"/>
    <s v="290 Main St"/>
    <s v="Credit Card"/>
    <s v="Cancelled"/>
    <s v="TRK12981657"/>
    <s v="7"/>
    <s v="Winter15"/>
    <x v="3"/>
    <n v="1402.6"/>
    <n v="224.416"/>
    <n v="1178.184"/>
    <x v="4"/>
  </r>
  <r>
    <s v="ORD200970"/>
    <s v="07/09/2024"/>
    <s v="C72664"/>
    <x v="6"/>
    <s v="1"/>
    <s v="627.15"/>
    <s v="241 Main St"/>
    <s v="Cash"/>
    <s v="Delivered"/>
    <s v="TRK86694331"/>
    <s v="5"/>
    <s v="Save10"/>
    <x v="0"/>
    <n v="627.15"/>
    <n v="501.71999999999997"/>
    <n v="125.43"/>
    <x v="11"/>
  </r>
  <r>
    <s v="ORD200978"/>
    <s v="25/06/2024"/>
    <s v="C41508"/>
    <x v="4"/>
    <s v="4"/>
    <s v="107.49"/>
    <s v="993 Main St"/>
    <s v="Cash"/>
    <s v="Delivered"/>
    <s v="TRK61047536"/>
    <s v="5"/>
    <s v="No Coupon"/>
    <x v="4"/>
    <n v="429.96"/>
    <n v="85.99199999999999"/>
    <n v="343.96799999999996"/>
    <x v="5"/>
  </r>
  <r>
    <s v="ORD200980"/>
    <s v="14/10/2023"/>
    <s v="C84320"/>
    <x v="3"/>
    <s v="3"/>
    <s v="69.65"/>
    <s v="107 Main St"/>
    <s v="Cash"/>
    <s v="Delivered"/>
    <s v="TRK81093218"/>
    <s v="7"/>
    <s v="Winter15"/>
    <x v="0"/>
    <n v="208.95000000000002"/>
    <n v="55.720000000000006"/>
    <n v="153.23000000000002"/>
    <x v="3"/>
  </r>
  <r>
    <s v="ORD200989"/>
    <s v="23/03/2023"/>
    <s v="C49995"/>
    <x v="5"/>
    <s v="4"/>
    <s v="246.11"/>
    <s v="559 Main St"/>
    <s v="Credit Card"/>
    <s v="Pending"/>
    <s v="TRK33212013"/>
    <s v="4"/>
    <s v="Save10"/>
    <x v="0"/>
    <n v="984.44"/>
    <n v="196.88800000000001"/>
    <n v="787.55200000000002"/>
    <x v="9"/>
  </r>
  <r>
    <s v="ORD200990"/>
    <s v="19/11/2023"/>
    <s v="C52313"/>
    <x v="1"/>
    <s v="2"/>
    <s v="418.26"/>
    <s v="913 Main St"/>
    <s v="Debit Card"/>
    <s v="Pending"/>
    <s v="TRK67368559"/>
    <s v="2"/>
    <s v="Save10"/>
    <x v="4"/>
    <n v="836.52"/>
    <n v="334.608"/>
    <n v="501.91199999999998"/>
    <x v="7"/>
  </r>
  <r>
    <s v="ORD200993"/>
    <s v="06/04/2024"/>
    <s v="C61384"/>
    <x v="0"/>
    <s v="3"/>
    <s v="267.45"/>
    <s v="576 Main St"/>
    <s v="Gift Card"/>
    <s v="Delivered"/>
    <s v="TRK33323210"/>
    <s v="5"/>
    <s v="Winter15"/>
    <x v="0"/>
    <n v="802.34999999999991"/>
    <n v="213.95999999999998"/>
    <n v="588.38999999999987"/>
    <x v="6"/>
  </r>
  <r>
    <s v="ORD201000"/>
    <s v="21/06/2023"/>
    <s v="C90132"/>
    <x v="4"/>
    <s v="5"/>
    <s v="260.93"/>
    <s v="582 Main St"/>
    <s v="Online"/>
    <s v="Delivered"/>
    <s v="TRK52664903"/>
    <s v="9"/>
    <s v="Save10"/>
    <x v="2"/>
    <n v="1304.6500000000001"/>
    <n v="208.744"/>
    <n v="1095.9060000000002"/>
    <x v="5"/>
  </r>
  <r>
    <s v="ORD201008"/>
    <s v="13/01/2023"/>
    <s v="C62557"/>
    <x v="0"/>
    <s v="3"/>
    <s v="410.88"/>
    <s v="257 Main St"/>
    <s v="Cash"/>
    <s v="Delivered"/>
    <s v="TRK12742366"/>
    <s v="8"/>
    <s v="Freeship"/>
    <x v="0"/>
    <n v="1232.6399999999999"/>
    <n v="328.70400000000001"/>
    <n v="903.93599999999992"/>
    <x v="0"/>
  </r>
  <r>
    <s v="ORD201017"/>
    <s v="25/08/2024"/>
    <s v="C51694"/>
    <x v="3"/>
    <s v="2"/>
    <s v="680.85"/>
    <s v="953 Main St"/>
    <s v="Gift Card"/>
    <s v="Delivered"/>
    <s v="TRK83122112"/>
    <s v="6"/>
    <s v="Freeship"/>
    <x v="1"/>
    <n v="1361.7"/>
    <n v="544.68000000000006"/>
    <n v="817.02"/>
    <x v="1"/>
  </r>
  <r>
    <s v="ORD201027"/>
    <s v="21/05/2024"/>
    <s v="C93467"/>
    <x v="5"/>
    <s v="4"/>
    <s v="554.83"/>
    <s v="983 Main St"/>
    <s v="Cash"/>
    <s v="Returned"/>
    <s v="TRK77377373"/>
    <s v="6"/>
    <s v="No Coupon"/>
    <x v="4"/>
    <n v="2219.3200000000002"/>
    <n v="443.86400000000003"/>
    <n v="1775.4560000000001"/>
    <x v="4"/>
  </r>
  <r>
    <s v="ORD201033"/>
    <s v="24/12/2024"/>
    <s v="C20338"/>
    <x v="0"/>
    <s v="1"/>
    <s v="370.85"/>
    <s v="331 Main St"/>
    <s v="Gift Card"/>
    <s v="Delivered"/>
    <s v="TRK30654048"/>
    <s v="2"/>
    <s v="Freeship"/>
    <x v="1"/>
    <n v="370.85"/>
    <n v="296.68"/>
    <n v="74.170000000000016"/>
    <x v="8"/>
  </r>
  <r>
    <s v="ORD201035"/>
    <s v="12/11/2023"/>
    <s v="C70315"/>
    <x v="5"/>
    <s v="4"/>
    <s v="506.11"/>
    <s v="911 Main St"/>
    <s v="Cash"/>
    <s v="Cancelled"/>
    <s v="TRK97732085"/>
    <s v="5"/>
    <s v="No Coupon"/>
    <x v="1"/>
    <n v="2024.44"/>
    <n v="404.88800000000003"/>
    <n v="1619.5520000000001"/>
    <x v="7"/>
  </r>
  <r>
    <s v="ORD201043"/>
    <s v="11/01/2025"/>
    <s v="C43965"/>
    <x v="2"/>
    <s v="2"/>
    <s v="179.96"/>
    <s v="675 Main St"/>
    <s v="Gift Card"/>
    <s v="Shipped"/>
    <s v="TRK94346739"/>
    <s v="5"/>
    <s v="No Coupon"/>
    <x v="0"/>
    <n v="359.92"/>
    <n v="143.96800000000002"/>
    <n v="215.952"/>
    <x v="0"/>
  </r>
  <r>
    <s v="ORD201052"/>
    <s v="11/09/2023"/>
    <s v="C12301"/>
    <x v="2"/>
    <s v="1"/>
    <s v="531.74"/>
    <s v="493 Main St"/>
    <s v="Online"/>
    <s v="Shipped"/>
    <s v="TRK25145796"/>
    <s v="1"/>
    <s v="Winter15"/>
    <x v="4"/>
    <n v="531.74"/>
    <n v="425.392"/>
    <n v="106.34800000000001"/>
    <x v="11"/>
  </r>
  <r>
    <s v="ORD201053"/>
    <s v="15/09/2024"/>
    <s v="C32798"/>
    <x v="1"/>
    <s v="2"/>
    <s v="496.62"/>
    <s v="679 Main St"/>
    <s v="Online"/>
    <s v="Pending"/>
    <s v="TRK37375451"/>
    <s v="2"/>
    <s v="Save10"/>
    <x v="0"/>
    <n v="993.24"/>
    <n v="397.29599999999999"/>
    <n v="595.94399999999996"/>
    <x v="11"/>
  </r>
  <r>
    <s v="ORD201060"/>
    <s v="07/05/2024"/>
    <s v="C38024"/>
    <x v="2"/>
    <s v="2"/>
    <s v="273.43"/>
    <s v="824 Main St"/>
    <s v="Cash"/>
    <s v="Shipped"/>
    <s v="TRK93370912"/>
    <s v="7"/>
    <s v="Winter15"/>
    <x v="1"/>
    <n v="546.86"/>
    <n v="218.744"/>
    <n v="328.11599999999999"/>
    <x v="4"/>
  </r>
  <r>
    <s v="ORD201065"/>
    <s v="30/10/2023"/>
    <s v="C47778"/>
    <x v="4"/>
    <s v="5"/>
    <s v="666.8"/>
    <s v="488 Main St"/>
    <s v="Debit Card"/>
    <s v="Delivered"/>
    <s v="TRK79504329"/>
    <s v="7"/>
    <s v="Save10"/>
    <x v="1"/>
    <n v="3334"/>
    <n v="533.43999999999994"/>
    <n v="2800.56"/>
    <x v="3"/>
  </r>
  <r>
    <s v="ORD201079"/>
    <s v="20/06/2024"/>
    <s v="C89979"/>
    <x v="1"/>
    <s v="5"/>
    <s v="634"/>
    <s v="144 Main St"/>
    <s v="Gift Card"/>
    <s v="Delivered"/>
    <s v="TRK99055909"/>
    <s v="8"/>
    <s v="No Coupon"/>
    <x v="2"/>
    <n v="3170"/>
    <n v="507.2"/>
    <n v="2662.8"/>
    <x v="5"/>
  </r>
  <r>
    <s v="ORD201097"/>
    <s v="26/12/2024"/>
    <s v="C81370"/>
    <x v="0"/>
    <s v="5"/>
    <s v="506.45"/>
    <s v="344 Main St"/>
    <s v="Gift Card"/>
    <s v="Shipped"/>
    <s v="TRK99682998"/>
    <s v="7"/>
    <s v="Winter15"/>
    <x v="4"/>
    <n v="2532.25"/>
    <n v="405.15999999999997"/>
    <n v="2127.09"/>
    <x v="8"/>
  </r>
  <r>
    <s v="ORD201098"/>
    <s v="17/06/2023"/>
    <s v="C91103"/>
    <x v="0"/>
    <s v="4"/>
    <s v="255.86"/>
    <s v="155 Main St"/>
    <s v="Credit Card"/>
    <s v="Delivered"/>
    <s v="TRK91653000"/>
    <s v="7"/>
    <s v="No Coupon"/>
    <x v="2"/>
    <n v="1023.44"/>
    <n v="204.68800000000002"/>
    <n v="818.75200000000007"/>
    <x v="5"/>
  </r>
  <r>
    <s v="ORD201108"/>
    <s v="20/03/2023"/>
    <s v="C35136"/>
    <x v="5"/>
    <s v="1"/>
    <s v="634.94"/>
    <s v="462 Main St"/>
    <s v="Online"/>
    <s v="Cancelled"/>
    <s v="TRK49753703"/>
    <s v="5"/>
    <s v="Winter15"/>
    <x v="0"/>
    <n v="634.94000000000005"/>
    <n v="507.95200000000006"/>
    <n v="126.988"/>
    <x v="9"/>
  </r>
  <r>
    <s v="ORD201109"/>
    <s v="08/04/2024"/>
    <s v="C62277"/>
    <x v="4"/>
    <s v="4"/>
    <s v="77.47"/>
    <s v="474 Main St"/>
    <s v="Gift Card"/>
    <s v="Returned"/>
    <s v="TRK32026174"/>
    <s v="7"/>
    <s v="Save10"/>
    <x v="0"/>
    <n v="309.88"/>
    <n v="61.975999999999999"/>
    <n v="247.904"/>
    <x v="6"/>
  </r>
  <r>
    <s v="ORD201123"/>
    <s v="14/04/2023"/>
    <s v="C68936"/>
    <x v="2"/>
    <s v="3"/>
    <s v="554.25"/>
    <s v="843 Main St"/>
    <s v="Debit Card"/>
    <s v="Shipped"/>
    <s v="TRK73163634"/>
    <s v="6"/>
    <s v="Winter15"/>
    <x v="1"/>
    <n v="1662.75"/>
    <n v="443.4"/>
    <n v="1219.3499999999999"/>
    <x v="6"/>
  </r>
  <r>
    <s v="ORD201143"/>
    <s v="03/04/2023"/>
    <s v="C41132"/>
    <x v="3"/>
    <s v="1"/>
    <s v="381.61"/>
    <s v="114 Main St"/>
    <s v="Debit Card"/>
    <s v="Pending"/>
    <s v="TRK51040137"/>
    <s v="5"/>
    <s v="No Coupon"/>
    <x v="2"/>
    <n v="381.61"/>
    <n v="305.28800000000001"/>
    <n v="76.322000000000003"/>
    <x v="6"/>
  </r>
  <r>
    <s v="ORD201162"/>
    <s v="11/03/2025"/>
    <s v="C29405"/>
    <x v="1"/>
    <s v="2"/>
    <s v="224.37"/>
    <s v="251 Main St"/>
    <s v="Debit Card"/>
    <s v="Delivered"/>
    <s v="TRK33125798"/>
    <s v="3"/>
    <s v="Winter15"/>
    <x v="1"/>
    <n v="448.74"/>
    <n v="179.49600000000001"/>
    <n v="269.24400000000003"/>
    <x v="9"/>
  </r>
  <r>
    <s v="ORD201169"/>
    <s v="23/12/2024"/>
    <s v="C15849"/>
    <x v="3"/>
    <s v="1"/>
    <s v="525.43"/>
    <s v="643 Main St"/>
    <s v="Cash"/>
    <s v="Cancelled"/>
    <s v="TRK26794546"/>
    <s v="2"/>
    <s v="Save10"/>
    <x v="0"/>
    <n v="525.42999999999995"/>
    <n v="420.34399999999994"/>
    <n v="105.08600000000001"/>
    <x v="8"/>
  </r>
  <r>
    <s v="ORD201175"/>
    <s v="10/09/2024"/>
    <s v="C62512"/>
    <x v="4"/>
    <s v="3"/>
    <s v="91.74"/>
    <s v="368 Main St"/>
    <s v="Debit Card"/>
    <s v="Returned"/>
    <s v="TRK24139954"/>
    <s v="8"/>
    <s v="Freeship"/>
    <x v="1"/>
    <n v="275.21999999999997"/>
    <n v="73.391999999999996"/>
    <n v="201.82799999999997"/>
    <x v="11"/>
  </r>
  <r>
    <s v="ORD201177"/>
    <s v="27/04/2023"/>
    <s v="C23917"/>
    <x v="4"/>
    <s v="1"/>
    <s v="127.55"/>
    <s v="433 Main St"/>
    <s v="Cash"/>
    <s v="Shipped"/>
    <s v="TRK44434536"/>
    <s v="3"/>
    <s v="Save10"/>
    <x v="1"/>
    <n v="127.55"/>
    <n v="102.03999999999999"/>
    <n v="25.510000000000005"/>
    <x v="6"/>
  </r>
  <r>
    <s v="ORD201185"/>
    <s v="08/07/2024"/>
    <s v="C77344"/>
    <x v="3"/>
    <s v="1"/>
    <s v="343.31"/>
    <s v="777 Main St"/>
    <s v="Gift Card"/>
    <s v="Returned"/>
    <s v="TRK20605055"/>
    <s v="6"/>
    <s v="Save10"/>
    <x v="4"/>
    <n v="343.31"/>
    <n v="274.64800000000002"/>
    <n v="68.661999999999978"/>
    <x v="10"/>
  </r>
  <r>
    <s v="ORD201189"/>
    <s v="17/08/2024"/>
    <s v="C96136"/>
    <x v="2"/>
    <s v="5"/>
    <s v="389.22"/>
    <s v="149 Main St"/>
    <s v="Cash"/>
    <s v="Cancelled"/>
    <s v="TRK60856682"/>
    <s v="7"/>
    <s v="No Coupon"/>
    <x v="1"/>
    <n v="1946.1000000000001"/>
    <n v="311.37600000000003"/>
    <n v="1634.7240000000002"/>
    <x v="1"/>
  </r>
  <r>
    <s v="ORD201196"/>
    <s v="04/03/2024"/>
    <s v="C20095"/>
    <x v="0"/>
    <s v="2"/>
    <s v="662.53"/>
    <s v="778 Main St"/>
    <s v="Online"/>
    <s v="Cancelled"/>
    <s v="TRK69207593"/>
    <s v="5"/>
    <s v="No Coupon"/>
    <x v="3"/>
    <n v="1325.06"/>
    <n v="530.024"/>
    <n v="795.03599999999994"/>
    <x v="9"/>
  </r>
  <r>
    <s v="ORD201198"/>
    <s v="22/08/2024"/>
    <s v="C64753"/>
    <x v="3"/>
    <s v="4"/>
    <s v="262.52"/>
    <s v="509 Main St"/>
    <s v="Debit Card"/>
    <s v="Cancelled"/>
    <s v="TRK71683331"/>
    <s v="4"/>
    <s v="Winter15"/>
    <x v="0"/>
    <n v="1050.08"/>
    <n v="210.01599999999999"/>
    <n v="840.063999999999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94B9C8-3D38-43F1-90A7-65E18D47782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roduct">
  <location ref="A3:B11" firstHeaderRow="1" firstDataRow="1" firstDataCol="1"/>
  <pivotFields count="17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A995C-D288-4EB4-B3BC-9196465037FF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Month">
  <location ref="G3:H16" firstHeaderRow="1" firstDataRow="1" firstDataCol="1"/>
  <pivotFields count="17"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rice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26DE8-C532-472C-8C26-DA01561FD39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ferral Source">
  <location ref="D3:E9" firstHeaderRow="1" firstDataRow="1" firstDataCol="1"/>
  <pivotFields count="17">
    <pivotField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63F3AC-D17D-4950-800A-04F9B63FA762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6" dataBound="0" tableColumnId="16"/>
      <queryTableField id="17" dataBound="0" tableColumnId="17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ECDEF2-D7DC-4E73-8B7C-00590B0FCF88}" name="Main5" displayName="Main5" ref="A1:Q465" tableType="queryTable" totalsRowCount="1">
  <autoFilter ref="A1:Q464" xr:uid="{933092A2-ECEF-454E-8D01-C47855306944}"/>
  <sortState xmlns:xlrd2="http://schemas.microsoft.com/office/spreadsheetml/2017/richdata2" ref="A2:Q464">
    <sortCondition descending="1" ref="N1:N464"/>
  </sortState>
  <tableColumns count="17">
    <tableColumn id="1" xr3:uid="{81CB2A71-016C-4FC2-9940-3EE6D38DA2F5}" uniqueName="1" name="Order ID" totalsRowLabel="Total" queryTableFieldId="1" dataDxfId="31"/>
    <tableColumn id="2" xr3:uid="{FC571AC8-FF7A-48C1-A2DE-58E7543F1B46}" uniqueName="2" name="Date" queryTableFieldId="2" dataDxfId="30"/>
    <tableColumn id="3" xr3:uid="{5E2B62F6-F2C2-411F-9D42-83E0655495F2}" uniqueName="3" name="Customer ID" queryTableFieldId="3" dataDxfId="29"/>
    <tableColumn id="4" xr3:uid="{0C4C3C38-E893-4D32-B9BD-24283140121B}" uniqueName="4" name="Product" queryTableFieldId="4" dataDxfId="28"/>
    <tableColumn id="5" xr3:uid="{205B74CD-9660-4E44-906E-C646D31F9A32}" uniqueName="5" name="Quantity" queryTableFieldId="5" dataDxfId="27"/>
    <tableColumn id="6" xr3:uid="{6A33710F-2547-4CC9-86B8-4D7654127D56}" uniqueName="6" name="Unit Price" queryTableFieldId="6" dataDxfId="26"/>
    <tableColumn id="7" xr3:uid="{FDFA0853-1194-4AD6-BDBF-CF1847B398EB}" uniqueName="7" name="Shipping Address" queryTableFieldId="7" dataDxfId="25"/>
    <tableColumn id="8" xr3:uid="{D319E7C5-1F56-4167-94D3-95837E62050B}" uniqueName="8" name="Payment Method" queryTableFieldId="8" dataDxfId="24"/>
    <tableColumn id="9" xr3:uid="{50D9A255-1FFF-4E43-8E96-5B0691F7FC5B}" uniqueName="9" name="Order Status" queryTableFieldId="9" dataDxfId="23"/>
    <tableColumn id="10" xr3:uid="{BC19C769-5FEA-4346-A0E0-9D61377109EC}" uniqueName="10" name="Tracking Number" queryTableFieldId="10" dataDxfId="22"/>
    <tableColumn id="11" xr3:uid="{54DC0474-EC4D-4E74-8A91-92EDEA791E3E}" uniqueName="11" name="Items In Cart" queryTableFieldId="11" dataDxfId="21"/>
    <tableColumn id="12" xr3:uid="{280A3993-6111-4F9A-90CE-0B2069FF2846}" uniqueName="12" name="Coupon Code" queryTableFieldId="12" dataDxfId="20"/>
    <tableColumn id="13" xr3:uid="{5D16AC78-FAD4-4E02-BF10-7E89405FE24E}" uniqueName="13" name="Referral Source" queryTableFieldId="13" dataDxfId="19"/>
    <tableColumn id="14" xr3:uid="{D645CB65-1831-4CEF-BAD9-A229100F3A0E}" uniqueName="14" name="Total Price" queryTableFieldId="14" dataDxfId="18"/>
    <tableColumn id="16" xr3:uid="{23AA3443-044C-478F-B6BB-34C94200045F}" uniqueName="16" name="Cost Price" queryTableFieldId="16" dataDxfId="17">
      <calculatedColumnFormula>Main5[[#This Row],[Unit Price]]-Main5[[#This Row],[Unit Price]]*0.2</calculatedColumnFormula>
    </tableColumn>
    <tableColumn id="17" xr3:uid="{BDE5F77F-04CA-4A06-977A-0DEF56396E4D}" uniqueName="17" name="Profit" queryTableFieldId="17" dataDxfId="16">
      <calculatedColumnFormula>Main5[[#This Row],[Total Price]]-Main5[[#This Row],[Cost Price]]</calculatedColumnFormula>
    </tableColumn>
    <tableColumn id="15" xr3:uid="{54435391-6946-4E3F-9F49-F1E51D7FB8D3}" uniqueName="15" name="Month" queryTableFieldId="15" dataDxfId="15">
      <calculatedColumnFormula>TEXT(Main5[[#This Row],[Date]],"mmm")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200F60-09C9-4AD0-A44D-2F9679E167F6}" name="Table3" displayName="Table3" ref="F2:G9" totalsRowCount="1" headerRowDxfId="14" headerRowBorderDxfId="13" tableBorderDxfId="12" totalsRowBorderDxfId="11">
  <autoFilter ref="F2:G8" xr:uid="{7E200F60-09C9-4AD0-A44D-2F9679E167F6}"/>
  <tableColumns count="2">
    <tableColumn id="1" xr3:uid="{5B7E47CD-53CE-4D61-942D-559D38889764}" name="Sales Summary" totalsRowLabel="Correlation" dataDxfId="10" totalsRowDxfId="9"/>
    <tableColumn id="2" xr3:uid="{D0EAC40F-A040-4AAC-B47A-10C3A91126FB}" name="Figures" totalsRowFunction="custom" dataDxfId="8" totalsRowDxfId="7">
      <totalsRowFormula>CORREL(Main5[Total Price],Main5[Profit])</totalsRow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061A5C-9C89-4A12-B934-BE8A7764916C}" name="Table6" displayName="Table6" ref="F3:G8" totalsRowShown="0" headerRowBorderDxfId="6" tableBorderDxfId="5" totalsRowBorderDxfId="4">
  <autoFilter ref="F3:G8" xr:uid="{B8061A5C-9C89-4A12-B934-BE8A7764916C}"/>
  <tableColumns count="2">
    <tableColumn id="1" xr3:uid="{C26FAC63-12C2-4602-A21F-3BDB18F41BD3}" name="Metric" dataDxfId="3"/>
    <tableColumn id="2" xr3:uid="{514C998B-FD80-4D36-A30E-EC396F30EA02}" name="Result" dataDxfId="2">
      <calculatedColumnFormula>'Sales Overview'!G3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2A7A-C7ED-4679-9D46-71C5CC58FF6E}">
  <dimension ref="A1:V465"/>
  <sheetViews>
    <sheetView topLeftCell="G1" workbookViewId="0">
      <selection activeCell="N8" sqref="N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4.140625" bestFit="1" customWidth="1"/>
    <col min="4" max="4" width="10.140625" bestFit="1" customWidth="1"/>
    <col min="5" max="5" width="11" bestFit="1" customWidth="1"/>
    <col min="6" max="6" width="12" bestFit="1" customWidth="1"/>
    <col min="7" max="7" width="18.7109375" bestFit="1" customWidth="1"/>
    <col min="8" max="8" width="18.85546875" bestFit="1" customWidth="1"/>
    <col min="9" max="9" width="14.28515625" bestFit="1" customWidth="1"/>
    <col min="10" max="10" width="18.42578125" bestFit="1" customWidth="1"/>
    <col min="11" max="11" width="14.42578125" bestFit="1" customWidth="1"/>
    <col min="12" max="12" width="15.140625" bestFit="1" customWidth="1"/>
    <col min="13" max="13" width="17" bestFit="1" customWidth="1"/>
    <col min="14" max="14" width="18.85546875" bestFit="1" customWidth="1"/>
    <col min="15" max="16" width="18.85546875" customWidth="1"/>
    <col min="21" max="22" width="15.85546875" customWidth="1"/>
  </cols>
  <sheetData>
    <row r="1" spans="1:22" x14ac:dyDescent="0.25">
      <c r="A1" t="s">
        <v>2817</v>
      </c>
      <c r="B1" t="s">
        <v>0</v>
      </c>
      <c r="C1" t="s">
        <v>2818</v>
      </c>
      <c r="D1" t="s">
        <v>1</v>
      </c>
      <c r="E1" t="s">
        <v>2</v>
      </c>
      <c r="F1" t="s">
        <v>2819</v>
      </c>
      <c r="G1" t="s">
        <v>2820</v>
      </c>
      <c r="H1" t="s">
        <v>2821</v>
      </c>
      <c r="I1" t="s">
        <v>2822</v>
      </c>
      <c r="J1" t="s">
        <v>2823</v>
      </c>
      <c r="K1" t="s">
        <v>2824</v>
      </c>
      <c r="L1" t="s">
        <v>2825</v>
      </c>
      <c r="M1" t="s">
        <v>2826</v>
      </c>
      <c r="N1" t="s">
        <v>2827</v>
      </c>
      <c r="O1" t="s">
        <v>2842</v>
      </c>
      <c r="P1" t="s">
        <v>2843</v>
      </c>
      <c r="Q1" t="s">
        <v>2828</v>
      </c>
    </row>
    <row r="2" spans="1:22" x14ac:dyDescent="0.25">
      <c r="A2" t="s">
        <v>1627</v>
      </c>
      <c r="B2" t="s">
        <v>2683</v>
      </c>
      <c r="C2" t="s">
        <v>1628</v>
      </c>
      <c r="D2" t="s">
        <v>20</v>
      </c>
      <c r="E2" t="s">
        <v>1878</v>
      </c>
      <c r="F2" t="s">
        <v>2684</v>
      </c>
      <c r="G2" t="s">
        <v>1629</v>
      </c>
      <c r="H2" t="s">
        <v>15</v>
      </c>
      <c r="I2" t="s">
        <v>37</v>
      </c>
      <c r="J2" t="s">
        <v>1630</v>
      </c>
      <c r="K2" t="s">
        <v>1954</v>
      </c>
      <c r="L2" t="s">
        <v>1881</v>
      </c>
      <c r="M2" t="s">
        <v>25</v>
      </c>
      <c r="N2">
        <f>Main5[[#This Row],[Quantity]]*Main5[[#This Row],[Unit Price]]</f>
        <v>3456.3999999999996</v>
      </c>
      <c r="O2">
        <f>Main5[[#This Row],[Unit Price]]-Main5[[#This Row],[Unit Price]]*0.2</f>
        <v>553.024</v>
      </c>
      <c r="P2">
        <f>Main5[[#This Row],[Total Price]]-Main5[[#This Row],[Cost Price]]</f>
        <v>2903.3759999999997</v>
      </c>
      <c r="Q2" t="str">
        <f>TEXT(Main5[[#This Row],[Date]],"mmm")</f>
        <v>Aug</v>
      </c>
      <c r="U2" s="3"/>
      <c r="V2" s="3"/>
    </row>
    <row r="3" spans="1:22" x14ac:dyDescent="0.25">
      <c r="A3" t="s">
        <v>999</v>
      </c>
      <c r="B3" t="s">
        <v>2372</v>
      </c>
      <c r="C3" t="s">
        <v>1000</v>
      </c>
      <c r="D3" t="s">
        <v>20</v>
      </c>
      <c r="E3" t="s">
        <v>1878</v>
      </c>
      <c r="F3" t="s">
        <v>2373</v>
      </c>
      <c r="G3" t="s">
        <v>1001</v>
      </c>
      <c r="H3" t="s">
        <v>15</v>
      </c>
      <c r="I3" t="s">
        <v>23</v>
      </c>
      <c r="J3" t="s">
        <v>1002</v>
      </c>
      <c r="K3" t="s">
        <v>1880</v>
      </c>
      <c r="L3" t="s">
        <v>1881</v>
      </c>
      <c r="M3" t="s">
        <v>63</v>
      </c>
      <c r="N3">
        <f>Main5[[#This Row],[Quantity]]*Main5[[#This Row],[Unit Price]]</f>
        <v>3370.2</v>
      </c>
      <c r="O3">
        <f>Main5[[#This Row],[Unit Price]]-Main5[[#This Row],[Unit Price]]*0.2</f>
        <v>539.23199999999997</v>
      </c>
      <c r="P3">
        <f>Main5[[#This Row],[Total Price]]-Main5[[#This Row],[Cost Price]]</f>
        <v>2830.9679999999998</v>
      </c>
      <c r="Q3" t="str">
        <f>TEXT(Main5[[#This Row],[Date]],"mmm")</f>
        <v>Feb</v>
      </c>
    </row>
    <row r="4" spans="1:22" x14ac:dyDescent="0.25">
      <c r="A4" t="s">
        <v>1819</v>
      </c>
      <c r="B4" t="s">
        <v>2785</v>
      </c>
      <c r="C4" t="s">
        <v>1820</v>
      </c>
      <c r="D4" t="s">
        <v>35</v>
      </c>
      <c r="E4" t="s">
        <v>1878</v>
      </c>
      <c r="F4" t="s">
        <v>2786</v>
      </c>
      <c r="G4" t="s">
        <v>1194</v>
      </c>
      <c r="H4" t="s">
        <v>7</v>
      </c>
      <c r="I4" t="s">
        <v>37</v>
      </c>
      <c r="J4" t="s">
        <v>1821</v>
      </c>
      <c r="K4" t="s">
        <v>1880</v>
      </c>
      <c r="L4" t="s">
        <v>1881</v>
      </c>
      <c r="M4" t="s">
        <v>17</v>
      </c>
      <c r="N4">
        <f>Main5[[#This Row],[Quantity]]*Main5[[#This Row],[Unit Price]]</f>
        <v>3334</v>
      </c>
      <c r="O4">
        <f>Main5[[#This Row],[Unit Price]]-Main5[[#This Row],[Unit Price]]*0.2</f>
        <v>533.43999999999994</v>
      </c>
      <c r="P4">
        <f>Main5[[#This Row],[Total Price]]-Main5[[#This Row],[Cost Price]]</f>
        <v>2800.56</v>
      </c>
      <c r="Q4" t="str">
        <f>TEXT(Main5[[#This Row],[Date]],"mmm")</f>
        <v>Oct</v>
      </c>
    </row>
    <row r="5" spans="1:22" x14ac:dyDescent="0.25">
      <c r="A5" t="s">
        <v>1087</v>
      </c>
      <c r="B5" t="s">
        <v>2414</v>
      </c>
      <c r="C5" t="s">
        <v>1088</v>
      </c>
      <c r="D5" t="s">
        <v>35</v>
      </c>
      <c r="E5" t="s">
        <v>1878</v>
      </c>
      <c r="F5" t="s">
        <v>2415</v>
      </c>
      <c r="G5" t="s">
        <v>1089</v>
      </c>
      <c r="H5" t="s">
        <v>22</v>
      </c>
      <c r="I5" t="s">
        <v>37</v>
      </c>
      <c r="J5" t="s">
        <v>1090</v>
      </c>
      <c r="K5" t="s">
        <v>1903</v>
      </c>
      <c r="L5" t="s">
        <v>1881</v>
      </c>
      <c r="M5" t="s">
        <v>32</v>
      </c>
      <c r="N5">
        <f>Main5[[#This Row],[Quantity]]*Main5[[#This Row],[Unit Price]]</f>
        <v>3299.25</v>
      </c>
      <c r="O5">
        <f>Main5[[#This Row],[Unit Price]]-Main5[[#This Row],[Unit Price]]*0.2</f>
        <v>527.88</v>
      </c>
      <c r="P5">
        <f>Main5[[#This Row],[Total Price]]-Main5[[#This Row],[Cost Price]]</f>
        <v>2771.37</v>
      </c>
      <c r="Q5" t="str">
        <f>TEXT(Main5[[#This Row],[Date]],"mmm")</f>
        <v>Jun</v>
      </c>
    </row>
    <row r="6" spans="1:22" x14ac:dyDescent="0.25">
      <c r="A6" t="s">
        <v>1659</v>
      </c>
      <c r="B6" t="s">
        <v>2699</v>
      </c>
      <c r="C6" t="s">
        <v>1660</v>
      </c>
      <c r="D6" t="s">
        <v>28</v>
      </c>
      <c r="E6" t="s">
        <v>1878</v>
      </c>
      <c r="F6" t="s">
        <v>2700</v>
      </c>
      <c r="G6" t="s">
        <v>1411</v>
      </c>
      <c r="H6" t="s">
        <v>15</v>
      </c>
      <c r="I6" t="s">
        <v>37</v>
      </c>
      <c r="J6" t="s">
        <v>1661</v>
      </c>
      <c r="K6" t="s">
        <v>1878</v>
      </c>
      <c r="L6" t="s">
        <v>1906</v>
      </c>
      <c r="M6" t="s">
        <v>25</v>
      </c>
      <c r="N6">
        <f>Main5[[#This Row],[Quantity]]*Main5[[#This Row],[Unit Price]]</f>
        <v>3277.75</v>
      </c>
      <c r="O6">
        <f>Main5[[#This Row],[Unit Price]]-Main5[[#This Row],[Unit Price]]*0.2</f>
        <v>524.43999999999994</v>
      </c>
      <c r="P6">
        <f>Main5[[#This Row],[Total Price]]-Main5[[#This Row],[Cost Price]]</f>
        <v>2753.31</v>
      </c>
      <c r="Q6" t="str">
        <f>TEXT(Main5[[#This Row],[Date]],"mmm")</f>
        <v>Jun</v>
      </c>
    </row>
    <row r="7" spans="1:22" x14ac:dyDescent="0.25">
      <c r="A7" t="s">
        <v>1337</v>
      </c>
      <c r="B7" t="s">
        <v>2537</v>
      </c>
      <c r="C7" t="s">
        <v>1338</v>
      </c>
      <c r="D7" t="s">
        <v>45</v>
      </c>
      <c r="E7" t="s">
        <v>1878</v>
      </c>
      <c r="F7" t="s">
        <v>2538</v>
      </c>
      <c r="G7" t="s">
        <v>1339</v>
      </c>
      <c r="H7" t="s">
        <v>15</v>
      </c>
      <c r="I7" t="s">
        <v>75</v>
      </c>
      <c r="J7" t="s">
        <v>1340</v>
      </c>
      <c r="K7" t="s">
        <v>1880</v>
      </c>
      <c r="L7" t="s">
        <v>1906</v>
      </c>
      <c r="M7" t="s">
        <v>17</v>
      </c>
      <c r="N7">
        <f>Main5[[#This Row],[Quantity]]*Main5[[#This Row],[Unit Price]]</f>
        <v>3243.25</v>
      </c>
      <c r="O7">
        <f>Main5[[#This Row],[Unit Price]]-Main5[[#This Row],[Unit Price]]*0.2</f>
        <v>518.91999999999996</v>
      </c>
      <c r="P7">
        <f>Main5[[#This Row],[Total Price]]-Main5[[#This Row],[Cost Price]]</f>
        <v>2724.33</v>
      </c>
      <c r="Q7" t="str">
        <f>TEXT(Main5[[#This Row],[Date]],"mmm")</f>
        <v>Jan</v>
      </c>
    </row>
    <row r="8" spans="1:22" x14ac:dyDescent="0.25">
      <c r="A8" t="s">
        <v>1749</v>
      </c>
      <c r="B8" t="s">
        <v>2747</v>
      </c>
      <c r="C8" t="s">
        <v>1750</v>
      </c>
      <c r="D8" t="s">
        <v>5</v>
      </c>
      <c r="E8" t="s">
        <v>1878</v>
      </c>
      <c r="F8" t="s">
        <v>2748</v>
      </c>
      <c r="G8" t="s">
        <v>1751</v>
      </c>
      <c r="H8" t="s">
        <v>52</v>
      </c>
      <c r="I8" t="s">
        <v>30</v>
      </c>
      <c r="J8" t="s">
        <v>1752</v>
      </c>
      <c r="K8" t="s">
        <v>1888</v>
      </c>
      <c r="L8" t="s">
        <v>1911</v>
      </c>
      <c r="M8" t="s">
        <v>32</v>
      </c>
      <c r="N8">
        <f>Main5[[#This Row],[Quantity]]*Main5[[#This Row],[Unit Price]]</f>
        <v>3219.45</v>
      </c>
      <c r="O8">
        <f>Main5[[#This Row],[Unit Price]]-Main5[[#This Row],[Unit Price]]*0.2</f>
        <v>515.11199999999997</v>
      </c>
      <c r="P8">
        <f>Main5[[#This Row],[Total Price]]-Main5[[#This Row],[Cost Price]]</f>
        <v>2704.3379999999997</v>
      </c>
      <c r="Q8" t="str">
        <f>TEXT(Main5[[#This Row],[Date]],"mmm")</f>
        <v>Jan</v>
      </c>
    </row>
    <row r="9" spans="1:22" x14ac:dyDescent="0.25">
      <c r="A9" t="s">
        <v>334</v>
      </c>
      <c r="B9" t="s">
        <v>2045</v>
      </c>
      <c r="C9" t="s">
        <v>335</v>
      </c>
      <c r="D9" t="s">
        <v>35</v>
      </c>
      <c r="E9" t="s">
        <v>1878</v>
      </c>
      <c r="F9" t="s">
        <v>2046</v>
      </c>
      <c r="G9" t="s">
        <v>336</v>
      </c>
      <c r="H9" t="s">
        <v>15</v>
      </c>
      <c r="I9" t="s">
        <v>23</v>
      </c>
      <c r="J9" t="s">
        <v>337</v>
      </c>
      <c r="K9" t="s">
        <v>1878</v>
      </c>
      <c r="L9" t="s">
        <v>1889</v>
      </c>
      <c r="M9" t="s">
        <v>17</v>
      </c>
      <c r="N9">
        <f>Main5[[#This Row],[Quantity]]*Main5[[#This Row],[Unit Price]]</f>
        <v>3215.1499999999996</v>
      </c>
      <c r="O9">
        <f>Main5[[#This Row],[Unit Price]]-Main5[[#This Row],[Unit Price]]*0.2</f>
        <v>514.42399999999998</v>
      </c>
      <c r="P9">
        <f>Main5[[#This Row],[Total Price]]-Main5[[#This Row],[Cost Price]]</f>
        <v>2700.7259999999997</v>
      </c>
      <c r="Q9" t="str">
        <f>TEXT(Main5[[#This Row],[Date]],"mmm")</f>
        <v>Jun</v>
      </c>
    </row>
    <row r="10" spans="1:22" x14ac:dyDescent="0.25">
      <c r="A10" t="s">
        <v>1822</v>
      </c>
      <c r="B10" t="s">
        <v>2787</v>
      </c>
      <c r="C10" t="s">
        <v>1823</v>
      </c>
      <c r="D10" t="s">
        <v>13</v>
      </c>
      <c r="E10" t="s">
        <v>1878</v>
      </c>
      <c r="F10" t="s">
        <v>2788</v>
      </c>
      <c r="G10" t="s">
        <v>1733</v>
      </c>
      <c r="H10" t="s">
        <v>47</v>
      </c>
      <c r="I10" t="s">
        <v>37</v>
      </c>
      <c r="J10" t="s">
        <v>1824</v>
      </c>
      <c r="K10" t="s">
        <v>1888</v>
      </c>
      <c r="L10" t="s">
        <v>1906</v>
      </c>
      <c r="M10" t="s">
        <v>25</v>
      </c>
      <c r="N10">
        <f>Main5[[#This Row],[Quantity]]*Main5[[#This Row],[Unit Price]]</f>
        <v>3170</v>
      </c>
      <c r="O10">
        <f>Main5[[#This Row],[Unit Price]]-Main5[[#This Row],[Unit Price]]*0.2</f>
        <v>507.2</v>
      </c>
      <c r="P10">
        <f>Main5[[#This Row],[Total Price]]-Main5[[#This Row],[Cost Price]]</f>
        <v>2662.8</v>
      </c>
      <c r="Q10" t="str">
        <f>TEXT(Main5[[#This Row],[Date]],"mmm")</f>
        <v>Jun</v>
      </c>
    </row>
    <row r="11" spans="1:22" x14ac:dyDescent="0.25">
      <c r="A11" t="s">
        <v>64</v>
      </c>
      <c r="B11" t="s">
        <v>1909</v>
      </c>
      <c r="C11" t="s">
        <v>65</v>
      </c>
      <c r="D11" t="s">
        <v>20</v>
      </c>
      <c r="E11" t="s">
        <v>1878</v>
      </c>
      <c r="F11" t="s">
        <v>1910</v>
      </c>
      <c r="G11" t="s">
        <v>66</v>
      </c>
      <c r="H11" t="s">
        <v>22</v>
      </c>
      <c r="I11" t="s">
        <v>30</v>
      </c>
      <c r="J11" t="s">
        <v>67</v>
      </c>
      <c r="K11" t="s">
        <v>1903</v>
      </c>
      <c r="L11" t="s">
        <v>1911</v>
      </c>
      <c r="M11" t="s">
        <v>10</v>
      </c>
      <c r="N11">
        <f>Main5[[#This Row],[Quantity]]*Main5[[#This Row],[Unit Price]]</f>
        <v>3129.8500000000004</v>
      </c>
      <c r="O11">
        <f>Main5[[#This Row],[Unit Price]]-Main5[[#This Row],[Unit Price]]*0.2</f>
        <v>500.77600000000001</v>
      </c>
      <c r="P11">
        <f>Main5[[#This Row],[Total Price]]-Main5[[#This Row],[Cost Price]]</f>
        <v>2629.0740000000005</v>
      </c>
      <c r="Q11" t="str">
        <f>TEXT(Main5[[#This Row],[Date]],"mmm")</f>
        <v>Dec</v>
      </c>
    </row>
    <row r="12" spans="1:22" x14ac:dyDescent="0.25">
      <c r="A12" t="s">
        <v>374</v>
      </c>
      <c r="B12" t="s">
        <v>2065</v>
      </c>
      <c r="C12" t="s">
        <v>375</v>
      </c>
      <c r="D12" t="s">
        <v>20</v>
      </c>
      <c r="E12" t="s">
        <v>1878</v>
      </c>
      <c r="F12" t="s">
        <v>2066</v>
      </c>
      <c r="G12" t="s">
        <v>376</v>
      </c>
      <c r="H12" t="s">
        <v>7</v>
      </c>
      <c r="I12" t="s">
        <v>75</v>
      </c>
      <c r="J12" t="s">
        <v>377</v>
      </c>
      <c r="K12" t="s">
        <v>1903</v>
      </c>
      <c r="L12" t="s">
        <v>1906</v>
      </c>
      <c r="M12" t="s">
        <v>25</v>
      </c>
      <c r="N12">
        <f>Main5[[#This Row],[Quantity]]*Main5[[#This Row],[Unit Price]]</f>
        <v>3097.6</v>
      </c>
      <c r="O12">
        <f>Main5[[#This Row],[Unit Price]]-Main5[[#This Row],[Unit Price]]*0.2</f>
        <v>495.61599999999999</v>
      </c>
      <c r="P12">
        <f>Main5[[#This Row],[Total Price]]-Main5[[#This Row],[Cost Price]]</f>
        <v>2601.9839999999999</v>
      </c>
      <c r="Q12" t="str">
        <f>TEXT(Main5[[#This Row],[Date]],"mmm")</f>
        <v>Jan</v>
      </c>
    </row>
    <row r="13" spans="1:22" x14ac:dyDescent="0.25">
      <c r="A13" t="s">
        <v>793</v>
      </c>
      <c r="B13" t="s">
        <v>2272</v>
      </c>
      <c r="C13" t="s">
        <v>794</v>
      </c>
      <c r="D13" t="s">
        <v>28</v>
      </c>
      <c r="E13" t="s">
        <v>1878</v>
      </c>
      <c r="F13" t="s">
        <v>2273</v>
      </c>
      <c r="G13" t="s">
        <v>795</v>
      </c>
      <c r="H13" t="s">
        <v>15</v>
      </c>
      <c r="I13" t="s">
        <v>75</v>
      </c>
      <c r="J13" t="s">
        <v>796</v>
      </c>
      <c r="K13" t="s">
        <v>1900</v>
      </c>
      <c r="L13" t="s">
        <v>1881</v>
      </c>
      <c r="M13" t="s">
        <v>25</v>
      </c>
      <c r="N13">
        <f>Main5[[#This Row],[Quantity]]*Main5[[#This Row],[Unit Price]]</f>
        <v>3078.35</v>
      </c>
      <c r="O13">
        <f>Main5[[#This Row],[Unit Price]]-Main5[[#This Row],[Unit Price]]*0.2</f>
        <v>492.53599999999994</v>
      </c>
      <c r="P13">
        <f>Main5[[#This Row],[Total Price]]-Main5[[#This Row],[Cost Price]]</f>
        <v>2585.8139999999999</v>
      </c>
      <c r="Q13" t="str">
        <f>TEXT(Main5[[#This Row],[Date]],"mmm")</f>
        <v>May</v>
      </c>
    </row>
    <row r="14" spans="1:22" x14ac:dyDescent="0.25">
      <c r="A14" t="s">
        <v>1213</v>
      </c>
      <c r="B14" t="s">
        <v>2475</v>
      </c>
      <c r="C14" t="s">
        <v>1214</v>
      </c>
      <c r="D14" t="s">
        <v>5</v>
      </c>
      <c r="E14" t="s">
        <v>1878</v>
      </c>
      <c r="F14" t="s">
        <v>2476</v>
      </c>
      <c r="G14" t="s">
        <v>1215</v>
      </c>
      <c r="H14" t="s">
        <v>47</v>
      </c>
      <c r="I14" t="s">
        <v>30</v>
      </c>
      <c r="J14" t="s">
        <v>1216</v>
      </c>
      <c r="K14" t="s">
        <v>1954</v>
      </c>
      <c r="L14" t="s">
        <v>1911</v>
      </c>
      <c r="M14" t="s">
        <v>10</v>
      </c>
      <c r="N14">
        <f>Main5[[#This Row],[Quantity]]*Main5[[#This Row],[Unit Price]]</f>
        <v>3075.5</v>
      </c>
      <c r="O14">
        <f>Main5[[#This Row],[Unit Price]]-Main5[[#This Row],[Unit Price]]*0.2</f>
        <v>492.08000000000004</v>
      </c>
      <c r="P14">
        <f>Main5[[#This Row],[Total Price]]-Main5[[#This Row],[Cost Price]]</f>
        <v>2583.42</v>
      </c>
      <c r="Q14" t="str">
        <f>TEXT(Main5[[#This Row],[Date]],"mmm")</f>
        <v>Jan</v>
      </c>
    </row>
    <row r="15" spans="1:22" x14ac:dyDescent="0.25">
      <c r="A15" t="s">
        <v>1726</v>
      </c>
      <c r="B15" t="s">
        <v>2735</v>
      </c>
      <c r="C15" t="s">
        <v>1727</v>
      </c>
      <c r="D15" t="s">
        <v>35</v>
      </c>
      <c r="E15" t="s">
        <v>1878</v>
      </c>
      <c r="F15" t="s">
        <v>2736</v>
      </c>
      <c r="G15" t="s">
        <v>1607</v>
      </c>
      <c r="H15" t="s">
        <v>52</v>
      </c>
      <c r="I15" t="s">
        <v>30</v>
      </c>
      <c r="J15" t="s">
        <v>1728</v>
      </c>
      <c r="K15" t="s">
        <v>1900</v>
      </c>
      <c r="L15" t="s">
        <v>1906</v>
      </c>
      <c r="M15" t="s">
        <v>17</v>
      </c>
      <c r="N15">
        <f>Main5[[#This Row],[Quantity]]*Main5[[#This Row],[Unit Price]]</f>
        <v>2894.15</v>
      </c>
      <c r="O15">
        <f>Main5[[#This Row],[Unit Price]]-Main5[[#This Row],[Unit Price]]*0.2</f>
        <v>463.06400000000002</v>
      </c>
      <c r="P15">
        <f>Main5[[#This Row],[Total Price]]-Main5[[#This Row],[Cost Price]]</f>
        <v>2431.0860000000002</v>
      </c>
      <c r="Q15" t="str">
        <f>TEXT(Main5[[#This Row],[Date]],"mmm")</f>
        <v>Jun</v>
      </c>
    </row>
    <row r="16" spans="1:22" x14ac:dyDescent="0.25">
      <c r="A16" t="s">
        <v>3</v>
      </c>
      <c r="B16" t="s">
        <v>1877</v>
      </c>
      <c r="C16" t="s">
        <v>4</v>
      </c>
      <c r="D16" t="s">
        <v>5</v>
      </c>
      <c r="E16" t="s">
        <v>1878</v>
      </c>
      <c r="F16" t="s">
        <v>1879</v>
      </c>
      <c r="G16" t="s">
        <v>6</v>
      </c>
      <c r="H16" t="s">
        <v>7</v>
      </c>
      <c r="I16" t="s">
        <v>8</v>
      </c>
      <c r="J16" t="s">
        <v>9</v>
      </c>
      <c r="K16" t="s">
        <v>1880</v>
      </c>
      <c r="L16" t="s">
        <v>1881</v>
      </c>
      <c r="M16" t="s">
        <v>10</v>
      </c>
      <c r="N16">
        <f>Main5[[#This Row],[Quantity]]*Main5[[#This Row],[Unit Price]]</f>
        <v>2853.1</v>
      </c>
      <c r="O16">
        <f>Main5[[#This Row],[Unit Price]]-Main5[[#This Row],[Unit Price]]*0.2</f>
        <v>456.49599999999998</v>
      </c>
      <c r="P16">
        <f>Main5[[#This Row],[Total Price]]-Main5[[#This Row],[Cost Price]]</f>
        <v>2396.6039999999998</v>
      </c>
      <c r="Q16" t="str">
        <f>TEXT(Main5[[#This Row],[Date]],"mmm")</f>
        <v>Jan</v>
      </c>
    </row>
    <row r="17" spans="1:17" x14ac:dyDescent="0.25">
      <c r="A17" t="s">
        <v>1438</v>
      </c>
      <c r="B17" t="s">
        <v>2587</v>
      </c>
      <c r="C17" t="s">
        <v>1439</v>
      </c>
      <c r="D17" t="s">
        <v>35</v>
      </c>
      <c r="E17" t="s">
        <v>1878</v>
      </c>
      <c r="F17" t="s">
        <v>2588</v>
      </c>
      <c r="G17" t="s">
        <v>1440</v>
      </c>
      <c r="H17" t="s">
        <v>52</v>
      </c>
      <c r="I17" t="s">
        <v>75</v>
      </c>
      <c r="J17" t="s">
        <v>1441</v>
      </c>
      <c r="K17" t="s">
        <v>1888</v>
      </c>
      <c r="L17" t="s">
        <v>1889</v>
      </c>
      <c r="M17" t="s">
        <v>17</v>
      </c>
      <c r="N17">
        <f>Main5[[#This Row],[Quantity]]*Main5[[#This Row],[Unit Price]]</f>
        <v>2793.15</v>
      </c>
      <c r="O17">
        <f>Main5[[#This Row],[Unit Price]]-Main5[[#This Row],[Unit Price]]*0.2</f>
        <v>446.904</v>
      </c>
      <c r="P17">
        <f>Main5[[#This Row],[Total Price]]-Main5[[#This Row],[Cost Price]]</f>
        <v>2346.2460000000001</v>
      </c>
      <c r="Q17" t="str">
        <f>TEXT(Main5[[#This Row],[Date]],"mmm")</f>
        <v>Mar</v>
      </c>
    </row>
    <row r="18" spans="1:17" x14ac:dyDescent="0.25">
      <c r="A18" t="s">
        <v>1116</v>
      </c>
      <c r="B18" t="s">
        <v>2428</v>
      </c>
      <c r="C18" t="s">
        <v>1117</v>
      </c>
      <c r="D18" t="s">
        <v>60</v>
      </c>
      <c r="E18" t="s">
        <v>1894</v>
      </c>
      <c r="F18" t="s">
        <v>2429</v>
      </c>
      <c r="G18" t="s">
        <v>1118</v>
      </c>
      <c r="H18" t="s">
        <v>52</v>
      </c>
      <c r="I18" t="s">
        <v>8</v>
      </c>
      <c r="J18" t="s">
        <v>1119</v>
      </c>
      <c r="K18" t="s">
        <v>1880</v>
      </c>
      <c r="L18" t="s">
        <v>1889</v>
      </c>
      <c r="M18" t="s">
        <v>17</v>
      </c>
      <c r="N18">
        <f>Main5[[#This Row],[Quantity]]*Main5[[#This Row],[Unit Price]]</f>
        <v>2790</v>
      </c>
      <c r="O18">
        <f>Main5[[#This Row],[Unit Price]]-Main5[[#This Row],[Unit Price]]*0.2</f>
        <v>558</v>
      </c>
      <c r="P18">
        <f>Main5[[#This Row],[Total Price]]-Main5[[#This Row],[Cost Price]]</f>
        <v>2232</v>
      </c>
      <c r="Q18" t="str">
        <f>TEXT(Main5[[#This Row],[Date]],"mmm")</f>
        <v>Dec</v>
      </c>
    </row>
    <row r="19" spans="1:17" x14ac:dyDescent="0.25">
      <c r="A19" t="s">
        <v>737</v>
      </c>
      <c r="B19" t="s">
        <v>2244</v>
      </c>
      <c r="C19" t="s">
        <v>738</v>
      </c>
      <c r="D19" t="s">
        <v>28</v>
      </c>
      <c r="E19" t="s">
        <v>1894</v>
      </c>
      <c r="F19" t="s">
        <v>2245</v>
      </c>
      <c r="G19" t="s">
        <v>739</v>
      </c>
      <c r="H19" t="s">
        <v>15</v>
      </c>
      <c r="I19" t="s">
        <v>8</v>
      </c>
      <c r="J19" t="s">
        <v>740</v>
      </c>
      <c r="K19" t="s">
        <v>1888</v>
      </c>
      <c r="L19" t="s">
        <v>1906</v>
      </c>
      <c r="M19" t="s">
        <v>10</v>
      </c>
      <c r="N19">
        <f>Main5[[#This Row],[Quantity]]*Main5[[#This Row],[Unit Price]]</f>
        <v>2773.44</v>
      </c>
      <c r="O19">
        <f>Main5[[#This Row],[Unit Price]]-Main5[[#This Row],[Unit Price]]*0.2</f>
        <v>554.68799999999999</v>
      </c>
      <c r="P19">
        <f>Main5[[#This Row],[Total Price]]-Main5[[#This Row],[Cost Price]]</f>
        <v>2218.752</v>
      </c>
      <c r="Q19" t="str">
        <f>TEXT(Main5[[#This Row],[Date]],"mmm")</f>
        <v>May</v>
      </c>
    </row>
    <row r="20" spans="1:17" x14ac:dyDescent="0.25">
      <c r="A20" t="s">
        <v>1251</v>
      </c>
      <c r="B20" t="s">
        <v>2493</v>
      </c>
      <c r="C20" t="s">
        <v>1252</v>
      </c>
      <c r="D20" t="s">
        <v>60</v>
      </c>
      <c r="E20" t="s">
        <v>1878</v>
      </c>
      <c r="F20" t="s">
        <v>2494</v>
      </c>
      <c r="G20" t="s">
        <v>1253</v>
      </c>
      <c r="H20" t="s">
        <v>15</v>
      </c>
      <c r="I20" t="s">
        <v>23</v>
      </c>
      <c r="J20" t="s">
        <v>1254</v>
      </c>
      <c r="K20" t="s">
        <v>1880</v>
      </c>
      <c r="L20" t="s">
        <v>1889</v>
      </c>
      <c r="M20" t="s">
        <v>17</v>
      </c>
      <c r="N20">
        <f>Main5[[#This Row],[Quantity]]*Main5[[#This Row],[Unit Price]]</f>
        <v>2756.35</v>
      </c>
      <c r="O20">
        <f>Main5[[#This Row],[Unit Price]]-Main5[[#This Row],[Unit Price]]*0.2</f>
        <v>441.01599999999996</v>
      </c>
      <c r="P20">
        <f>Main5[[#This Row],[Total Price]]-Main5[[#This Row],[Cost Price]]</f>
        <v>2315.3339999999998</v>
      </c>
      <c r="Q20" t="str">
        <f>TEXT(Main5[[#This Row],[Date]],"mmm")</f>
        <v>Apr</v>
      </c>
    </row>
    <row r="21" spans="1:17" x14ac:dyDescent="0.25">
      <c r="A21" t="s">
        <v>18</v>
      </c>
      <c r="B21" t="s">
        <v>1886</v>
      </c>
      <c r="C21" t="s">
        <v>19</v>
      </c>
      <c r="D21" t="s">
        <v>20</v>
      </c>
      <c r="E21" t="s">
        <v>1878</v>
      </c>
      <c r="F21" t="s">
        <v>1887</v>
      </c>
      <c r="G21" t="s">
        <v>21</v>
      </c>
      <c r="H21" t="s">
        <v>22</v>
      </c>
      <c r="I21" t="s">
        <v>23</v>
      </c>
      <c r="J21" t="s">
        <v>24</v>
      </c>
      <c r="K21" t="s">
        <v>1888</v>
      </c>
      <c r="L21" t="s">
        <v>1889</v>
      </c>
      <c r="M21" t="s">
        <v>25</v>
      </c>
      <c r="N21">
        <f>Main5[[#This Row],[Quantity]]*Main5[[#This Row],[Unit Price]]</f>
        <v>2753.3999999999996</v>
      </c>
      <c r="O21">
        <f>Main5[[#This Row],[Unit Price]]-Main5[[#This Row],[Unit Price]]*0.2</f>
        <v>440.54399999999998</v>
      </c>
      <c r="P21">
        <f>Main5[[#This Row],[Total Price]]-Main5[[#This Row],[Cost Price]]</f>
        <v>2312.8559999999998</v>
      </c>
      <c r="Q21" t="str">
        <f>TEXT(Main5[[#This Row],[Date]],"mmm")</f>
        <v>Feb</v>
      </c>
    </row>
    <row r="22" spans="1:17" x14ac:dyDescent="0.25">
      <c r="A22" t="s">
        <v>1191</v>
      </c>
      <c r="B22" t="s">
        <v>2465</v>
      </c>
      <c r="C22" t="s">
        <v>1192</v>
      </c>
      <c r="D22" t="s">
        <v>35</v>
      </c>
      <c r="E22" t="s">
        <v>1894</v>
      </c>
      <c r="F22" t="s">
        <v>2466</v>
      </c>
      <c r="G22" t="s">
        <v>900</v>
      </c>
      <c r="H22" t="s">
        <v>47</v>
      </c>
      <c r="I22" t="s">
        <v>23</v>
      </c>
      <c r="J22" t="s">
        <v>1193</v>
      </c>
      <c r="K22" t="s">
        <v>1900</v>
      </c>
      <c r="L22" t="s">
        <v>1911</v>
      </c>
      <c r="M22" t="s">
        <v>63</v>
      </c>
      <c r="N22">
        <f>Main5[[#This Row],[Quantity]]*Main5[[#This Row],[Unit Price]]</f>
        <v>2740.8</v>
      </c>
      <c r="O22">
        <f>Main5[[#This Row],[Unit Price]]-Main5[[#This Row],[Unit Price]]*0.2</f>
        <v>548.16000000000008</v>
      </c>
      <c r="P22">
        <f>Main5[[#This Row],[Total Price]]-Main5[[#This Row],[Cost Price]]</f>
        <v>2192.6400000000003</v>
      </c>
      <c r="Q22" t="str">
        <f>TEXT(Main5[[#This Row],[Date]],"mmm")</f>
        <v>Jul</v>
      </c>
    </row>
    <row r="23" spans="1:17" x14ac:dyDescent="0.25">
      <c r="A23" t="s">
        <v>1680</v>
      </c>
      <c r="B23" t="s">
        <v>2711</v>
      </c>
      <c r="C23" t="s">
        <v>1681</v>
      </c>
      <c r="D23" t="s">
        <v>5</v>
      </c>
      <c r="E23" t="s">
        <v>1894</v>
      </c>
      <c r="F23" t="s">
        <v>2712</v>
      </c>
      <c r="G23" t="s">
        <v>1682</v>
      </c>
      <c r="H23" t="s">
        <v>52</v>
      </c>
      <c r="I23" t="s">
        <v>75</v>
      </c>
      <c r="J23" t="s">
        <v>1683</v>
      </c>
      <c r="K23" t="s">
        <v>1888</v>
      </c>
      <c r="L23" t="s">
        <v>1881</v>
      </c>
      <c r="M23" t="s">
        <v>63</v>
      </c>
      <c r="N23">
        <f>Main5[[#This Row],[Quantity]]*Main5[[#This Row],[Unit Price]]</f>
        <v>2709.48</v>
      </c>
      <c r="O23">
        <f>Main5[[#This Row],[Unit Price]]-Main5[[#This Row],[Unit Price]]*0.2</f>
        <v>541.89599999999996</v>
      </c>
      <c r="P23">
        <f>Main5[[#This Row],[Total Price]]-Main5[[#This Row],[Cost Price]]</f>
        <v>2167.5839999999998</v>
      </c>
      <c r="Q23" t="str">
        <f>TEXT(Main5[[#This Row],[Date]],"mmm")</f>
        <v>Apr</v>
      </c>
    </row>
    <row r="24" spans="1:17" x14ac:dyDescent="0.25">
      <c r="A24" t="s">
        <v>149</v>
      </c>
      <c r="B24" t="s">
        <v>1952</v>
      </c>
      <c r="C24" t="s">
        <v>150</v>
      </c>
      <c r="D24" t="s">
        <v>20</v>
      </c>
      <c r="E24" t="s">
        <v>1878</v>
      </c>
      <c r="F24" t="s">
        <v>1953</v>
      </c>
      <c r="G24" t="s">
        <v>151</v>
      </c>
      <c r="H24" t="s">
        <v>52</v>
      </c>
      <c r="I24" t="s">
        <v>37</v>
      </c>
      <c r="J24" t="s">
        <v>152</v>
      </c>
      <c r="K24" t="s">
        <v>1954</v>
      </c>
      <c r="L24" t="s">
        <v>1906</v>
      </c>
      <c r="M24" t="s">
        <v>25</v>
      </c>
      <c r="N24">
        <f>Main5[[#This Row],[Quantity]]*Main5[[#This Row],[Unit Price]]</f>
        <v>2683.6000000000004</v>
      </c>
      <c r="O24">
        <f>Main5[[#This Row],[Unit Price]]-Main5[[#This Row],[Unit Price]]*0.2</f>
        <v>429.37600000000003</v>
      </c>
      <c r="P24">
        <f>Main5[[#This Row],[Total Price]]-Main5[[#This Row],[Cost Price]]</f>
        <v>2254.2240000000002</v>
      </c>
      <c r="Q24" t="str">
        <f>TEXT(Main5[[#This Row],[Date]],"mmm")</f>
        <v>May</v>
      </c>
    </row>
    <row r="25" spans="1:17" x14ac:dyDescent="0.25">
      <c r="A25" t="s">
        <v>581</v>
      </c>
      <c r="B25" t="s">
        <v>2167</v>
      </c>
      <c r="C25" t="s">
        <v>582</v>
      </c>
      <c r="D25" t="s">
        <v>60</v>
      </c>
      <c r="E25" t="s">
        <v>1878</v>
      </c>
      <c r="F25" t="s">
        <v>2168</v>
      </c>
      <c r="G25" t="s">
        <v>583</v>
      </c>
      <c r="H25" t="s">
        <v>47</v>
      </c>
      <c r="I25" t="s">
        <v>75</v>
      </c>
      <c r="J25" t="s">
        <v>584</v>
      </c>
      <c r="K25" t="s">
        <v>1878</v>
      </c>
      <c r="L25" t="s">
        <v>1881</v>
      </c>
      <c r="M25" t="s">
        <v>63</v>
      </c>
      <c r="N25">
        <f>Main5[[#This Row],[Quantity]]*Main5[[#This Row],[Unit Price]]</f>
        <v>2682.9</v>
      </c>
      <c r="O25">
        <f>Main5[[#This Row],[Unit Price]]-Main5[[#This Row],[Unit Price]]*0.2</f>
        <v>429.26400000000001</v>
      </c>
      <c r="P25">
        <f>Main5[[#This Row],[Total Price]]-Main5[[#This Row],[Cost Price]]</f>
        <v>2253.636</v>
      </c>
      <c r="Q25" t="str">
        <f>TEXT(Main5[[#This Row],[Date]],"mmm")</f>
        <v>Dec</v>
      </c>
    </row>
    <row r="26" spans="1:17" x14ac:dyDescent="0.25">
      <c r="A26" t="s">
        <v>601</v>
      </c>
      <c r="B26" t="s">
        <v>2177</v>
      </c>
      <c r="C26" t="s">
        <v>602</v>
      </c>
      <c r="D26" t="s">
        <v>60</v>
      </c>
      <c r="E26" t="s">
        <v>1894</v>
      </c>
      <c r="F26" t="s">
        <v>2178</v>
      </c>
      <c r="G26" t="s">
        <v>603</v>
      </c>
      <c r="H26" t="s">
        <v>52</v>
      </c>
      <c r="I26" t="s">
        <v>23</v>
      </c>
      <c r="J26" t="s">
        <v>604</v>
      </c>
      <c r="K26" t="s">
        <v>1888</v>
      </c>
      <c r="L26" t="s">
        <v>1881</v>
      </c>
      <c r="M26" t="s">
        <v>10</v>
      </c>
      <c r="N26">
        <f>Main5[[#This Row],[Quantity]]*Main5[[#This Row],[Unit Price]]</f>
        <v>2651.76</v>
      </c>
      <c r="O26">
        <f>Main5[[#This Row],[Unit Price]]-Main5[[#This Row],[Unit Price]]*0.2</f>
        <v>530.35200000000009</v>
      </c>
      <c r="P26">
        <f>Main5[[#This Row],[Total Price]]-Main5[[#This Row],[Cost Price]]</f>
        <v>2121.4080000000004</v>
      </c>
      <c r="Q26" t="str">
        <f>TEXT(Main5[[#This Row],[Date]],"mmm")</f>
        <v>Apr</v>
      </c>
    </row>
    <row r="27" spans="1:17" x14ac:dyDescent="0.25">
      <c r="A27" t="s">
        <v>1326</v>
      </c>
      <c r="B27" t="s">
        <v>2531</v>
      </c>
      <c r="C27" t="s">
        <v>1327</v>
      </c>
      <c r="D27" t="s">
        <v>60</v>
      </c>
      <c r="E27" t="s">
        <v>1894</v>
      </c>
      <c r="F27" t="s">
        <v>2532</v>
      </c>
      <c r="G27" t="s">
        <v>1178</v>
      </c>
      <c r="H27" t="s">
        <v>22</v>
      </c>
      <c r="I27" t="s">
        <v>30</v>
      </c>
      <c r="J27" t="s">
        <v>1328</v>
      </c>
      <c r="K27" t="s">
        <v>1900</v>
      </c>
      <c r="L27" t="s">
        <v>1911</v>
      </c>
      <c r="M27" t="s">
        <v>63</v>
      </c>
      <c r="N27">
        <f>Main5[[#This Row],[Quantity]]*Main5[[#This Row],[Unit Price]]</f>
        <v>2631.16</v>
      </c>
      <c r="O27">
        <f>Main5[[#This Row],[Unit Price]]-Main5[[#This Row],[Unit Price]]*0.2</f>
        <v>526.23199999999997</v>
      </c>
      <c r="P27">
        <f>Main5[[#This Row],[Total Price]]-Main5[[#This Row],[Cost Price]]</f>
        <v>2104.9279999999999</v>
      </c>
      <c r="Q27" t="str">
        <f>TEXT(Main5[[#This Row],[Date]],"mmm")</f>
        <v>Feb</v>
      </c>
    </row>
    <row r="28" spans="1:17" x14ac:dyDescent="0.25">
      <c r="A28" t="s">
        <v>909</v>
      </c>
      <c r="B28" t="s">
        <v>2328</v>
      </c>
      <c r="C28" t="s">
        <v>910</v>
      </c>
      <c r="D28" t="s">
        <v>28</v>
      </c>
      <c r="E28" t="s">
        <v>1894</v>
      </c>
      <c r="F28" t="s">
        <v>2329</v>
      </c>
      <c r="G28" t="s">
        <v>911</v>
      </c>
      <c r="H28" t="s">
        <v>15</v>
      </c>
      <c r="I28" t="s">
        <v>8</v>
      </c>
      <c r="J28" t="s">
        <v>912</v>
      </c>
      <c r="K28" t="s">
        <v>1878</v>
      </c>
      <c r="L28" t="s">
        <v>1906</v>
      </c>
      <c r="M28" t="s">
        <v>32</v>
      </c>
      <c r="N28">
        <f>Main5[[#This Row],[Quantity]]*Main5[[#This Row],[Unit Price]]</f>
        <v>2620.7199999999998</v>
      </c>
      <c r="O28">
        <f>Main5[[#This Row],[Unit Price]]-Main5[[#This Row],[Unit Price]]*0.2</f>
        <v>524.14400000000001</v>
      </c>
      <c r="P28">
        <f>Main5[[#This Row],[Total Price]]-Main5[[#This Row],[Cost Price]]</f>
        <v>2096.576</v>
      </c>
      <c r="Q28" t="str">
        <f>TEXT(Main5[[#This Row],[Date]],"mmm")</f>
        <v>Nov</v>
      </c>
    </row>
    <row r="29" spans="1:17" x14ac:dyDescent="0.25">
      <c r="A29" t="s">
        <v>1651</v>
      </c>
      <c r="B29" t="s">
        <v>2695</v>
      </c>
      <c r="C29" t="s">
        <v>1652</v>
      </c>
      <c r="D29" t="s">
        <v>45</v>
      </c>
      <c r="E29" t="s">
        <v>1894</v>
      </c>
      <c r="F29" t="s">
        <v>2696</v>
      </c>
      <c r="G29" t="s">
        <v>1653</v>
      </c>
      <c r="H29" t="s">
        <v>22</v>
      </c>
      <c r="I29" t="s">
        <v>8</v>
      </c>
      <c r="J29" t="s">
        <v>1654</v>
      </c>
      <c r="K29" t="s">
        <v>1888</v>
      </c>
      <c r="L29" t="s">
        <v>1911</v>
      </c>
      <c r="M29" t="s">
        <v>10</v>
      </c>
      <c r="N29">
        <f>Main5[[#This Row],[Quantity]]*Main5[[#This Row],[Unit Price]]</f>
        <v>2612.52</v>
      </c>
      <c r="O29">
        <f>Main5[[#This Row],[Unit Price]]-Main5[[#This Row],[Unit Price]]*0.2</f>
        <v>522.50400000000002</v>
      </c>
      <c r="P29">
        <f>Main5[[#This Row],[Total Price]]-Main5[[#This Row],[Cost Price]]</f>
        <v>2090.0160000000001</v>
      </c>
      <c r="Q29" t="str">
        <f>TEXT(Main5[[#This Row],[Date]],"mmm")</f>
        <v>Oct</v>
      </c>
    </row>
    <row r="30" spans="1:17" x14ac:dyDescent="0.25">
      <c r="A30" t="s">
        <v>1482</v>
      </c>
      <c r="B30" t="s">
        <v>2609</v>
      </c>
      <c r="C30" t="s">
        <v>1483</v>
      </c>
      <c r="D30" t="s">
        <v>60</v>
      </c>
      <c r="E30" t="s">
        <v>1894</v>
      </c>
      <c r="F30" t="s">
        <v>2610</v>
      </c>
      <c r="G30" t="s">
        <v>1484</v>
      </c>
      <c r="H30" t="s">
        <v>52</v>
      </c>
      <c r="I30" t="s">
        <v>75</v>
      </c>
      <c r="J30" t="s">
        <v>1485</v>
      </c>
      <c r="K30" t="s">
        <v>1878</v>
      </c>
      <c r="L30" t="s">
        <v>1889</v>
      </c>
      <c r="M30" t="s">
        <v>10</v>
      </c>
      <c r="N30">
        <f>Main5[[#This Row],[Quantity]]*Main5[[#This Row],[Unit Price]]</f>
        <v>2609.92</v>
      </c>
      <c r="O30">
        <f>Main5[[#This Row],[Unit Price]]-Main5[[#This Row],[Unit Price]]*0.2</f>
        <v>521.98400000000004</v>
      </c>
      <c r="P30">
        <f>Main5[[#This Row],[Total Price]]-Main5[[#This Row],[Cost Price]]</f>
        <v>2087.9360000000001</v>
      </c>
      <c r="Q30" t="str">
        <f>TEXT(Main5[[#This Row],[Date]],"mmm")</f>
        <v>May</v>
      </c>
    </row>
    <row r="31" spans="1:17" x14ac:dyDescent="0.25">
      <c r="A31" t="s">
        <v>1027</v>
      </c>
      <c r="B31" t="s">
        <v>2386</v>
      </c>
      <c r="C31" t="s">
        <v>1028</v>
      </c>
      <c r="D31" t="s">
        <v>45</v>
      </c>
      <c r="E31" t="s">
        <v>1878</v>
      </c>
      <c r="F31" t="s">
        <v>2387</v>
      </c>
      <c r="G31" t="s">
        <v>1029</v>
      </c>
      <c r="H31" t="s">
        <v>52</v>
      </c>
      <c r="I31" t="s">
        <v>23</v>
      </c>
      <c r="J31" t="s">
        <v>1030</v>
      </c>
      <c r="K31" t="s">
        <v>1888</v>
      </c>
      <c r="L31" t="s">
        <v>1906</v>
      </c>
      <c r="M31" t="s">
        <v>25</v>
      </c>
      <c r="N31">
        <f>Main5[[#This Row],[Quantity]]*Main5[[#This Row],[Unit Price]]</f>
        <v>2606.25</v>
      </c>
      <c r="O31">
        <f>Main5[[#This Row],[Unit Price]]-Main5[[#This Row],[Unit Price]]*0.2</f>
        <v>417</v>
      </c>
      <c r="P31">
        <f>Main5[[#This Row],[Total Price]]-Main5[[#This Row],[Cost Price]]</f>
        <v>2189.25</v>
      </c>
      <c r="Q31" t="str">
        <f>TEXT(Main5[[#This Row],[Date]],"mmm")</f>
        <v>Apr</v>
      </c>
    </row>
    <row r="32" spans="1:17" x14ac:dyDescent="0.25">
      <c r="A32" t="s">
        <v>1387</v>
      </c>
      <c r="B32" t="s">
        <v>2563</v>
      </c>
      <c r="C32" t="s">
        <v>1388</v>
      </c>
      <c r="D32" t="s">
        <v>5</v>
      </c>
      <c r="E32" t="s">
        <v>1878</v>
      </c>
      <c r="F32" t="s">
        <v>2564</v>
      </c>
      <c r="G32" t="s">
        <v>1389</v>
      </c>
      <c r="H32" t="s">
        <v>47</v>
      </c>
      <c r="I32" t="s">
        <v>37</v>
      </c>
      <c r="J32" t="s">
        <v>1390</v>
      </c>
      <c r="K32" t="s">
        <v>1954</v>
      </c>
      <c r="L32" t="s">
        <v>1889</v>
      </c>
      <c r="M32" t="s">
        <v>10</v>
      </c>
      <c r="N32">
        <f>Main5[[#This Row],[Quantity]]*Main5[[#This Row],[Unit Price]]</f>
        <v>2573</v>
      </c>
      <c r="O32">
        <f>Main5[[#This Row],[Unit Price]]-Main5[[#This Row],[Unit Price]]*0.2</f>
        <v>411.68</v>
      </c>
      <c r="P32">
        <f>Main5[[#This Row],[Total Price]]-Main5[[#This Row],[Cost Price]]</f>
        <v>2161.3200000000002</v>
      </c>
      <c r="Q32" t="str">
        <f>TEXT(Main5[[#This Row],[Date]],"mmm")</f>
        <v>Jun</v>
      </c>
    </row>
    <row r="33" spans="1:17" x14ac:dyDescent="0.25">
      <c r="A33" t="s">
        <v>901</v>
      </c>
      <c r="B33" t="s">
        <v>2324</v>
      </c>
      <c r="C33" t="s">
        <v>902</v>
      </c>
      <c r="D33" t="s">
        <v>35</v>
      </c>
      <c r="E33" t="s">
        <v>1894</v>
      </c>
      <c r="F33" t="s">
        <v>2325</v>
      </c>
      <c r="G33" t="s">
        <v>903</v>
      </c>
      <c r="H33" t="s">
        <v>47</v>
      </c>
      <c r="I33" t="s">
        <v>23</v>
      </c>
      <c r="J33" t="s">
        <v>904</v>
      </c>
      <c r="K33" t="s">
        <v>1903</v>
      </c>
      <c r="L33" t="s">
        <v>1889</v>
      </c>
      <c r="M33" t="s">
        <v>63</v>
      </c>
      <c r="N33">
        <f>Main5[[#This Row],[Quantity]]*Main5[[#This Row],[Unit Price]]</f>
        <v>2551.16</v>
      </c>
      <c r="O33">
        <f>Main5[[#This Row],[Unit Price]]-Main5[[#This Row],[Unit Price]]*0.2</f>
        <v>510.23199999999997</v>
      </c>
      <c r="P33">
        <f>Main5[[#This Row],[Total Price]]-Main5[[#This Row],[Cost Price]]</f>
        <v>2040.9279999999999</v>
      </c>
      <c r="Q33" t="str">
        <f>TEXT(Main5[[#This Row],[Date]],"mmm")</f>
        <v>Apr</v>
      </c>
    </row>
    <row r="34" spans="1:17" x14ac:dyDescent="0.25">
      <c r="A34" t="s">
        <v>1205</v>
      </c>
      <c r="B34" t="s">
        <v>2471</v>
      </c>
      <c r="C34" t="s">
        <v>1206</v>
      </c>
      <c r="D34" t="s">
        <v>45</v>
      </c>
      <c r="E34" t="s">
        <v>1878</v>
      </c>
      <c r="F34" t="s">
        <v>2472</v>
      </c>
      <c r="G34" t="s">
        <v>1207</v>
      </c>
      <c r="H34" t="s">
        <v>15</v>
      </c>
      <c r="I34" t="s">
        <v>37</v>
      </c>
      <c r="J34" t="s">
        <v>1208</v>
      </c>
      <c r="K34" t="s">
        <v>1900</v>
      </c>
      <c r="L34" t="s">
        <v>1889</v>
      </c>
      <c r="M34" t="s">
        <v>10</v>
      </c>
      <c r="N34">
        <f>Main5[[#This Row],[Quantity]]*Main5[[#This Row],[Unit Price]]</f>
        <v>2547.9</v>
      </c>
      <c r="O34">
        <f>Main5[[#This Row],[Unit Price]]-Main5[[#This Row],[Unit Price]]*0.2</f>
        <v>407.66399999999999</v>
      </c>
      <c r="P34">
        <f>Main5[[#This Row],[Total Price]]-Main5[[#This Row],[Cost Price]]</f>
        <v>2140.2359999999999</v>
      </c>
      <c r="Q34" t="str">
        <f>TEXT(Main5[[#This Row],[Date]],"mmm")</f>
        <v>Oct</v>
      </c>
    </row>
    <row r="35" spans="1:17" x14ac:dyDescent="0.25">
      <c r="A35" t="s">
        <v>1120</v>
      </c>
      <c r="B35" t="s">
        <v>2430</v>
      </c>
      <c r="C35" t="s">
        <v>1121</v>
      </c>
      <c r="D35" t="s">
        <v>35</v>
      </c>
      <c r="E35" t="s">
        <v>1878</v>
      </c>
      <c r="F35" t="s">
        <v>2431</v>
      </c>
      <c r="G35" t="s">
        <v>1052</v>
      </c>
      <c r="H35" t="s">
        <v>52</v>
      </c>
      <c r="I35" t="s">
        <v>37</v>
      </c>
      <c r="J35" t="s">
        <v>1122</v>
      </c>
      <c r="K35" t="s">
        <v>1954</v>
      </c>
      <c r="L35" t="s">
        <v>1889</v>
      </c>
      <c r="M35" t="s">
        <v>63</v>
      </c>
      <c r="N35">
        <f>Main5[[#This Row],[Quantity]]*Main5[[#This Row],[Unit Price]]</f>
        <v>2543.4499999999998</v>
      </c>
      <c r="O35">
        <f>Main5[[#This Row],[Unit Price]]-Main5[[#This Row],[Unit Price]]*0.2</f>
        <v>406.952</v>
      </c>
      <c r="P35">
        <f>Main5[[#This Row],[Total Price]]-Main5[[#This Row],[Cost Price]]</f>
        <v>2136.4979999999996</v>
      </c>
      <c r="Q35" t="str">
        <f>TEXT(Main5[[#This Row],[Date]],"mmm")</f>
        <v>Jul</v>
      </c>
    </row>
    <row r="36" spans="1:17" x14ac:dyDescent="0.25">
      <c r="A36" t="s">
        <v>1825</v>
      </c>
      <c r="B36" t="s">
        <v>2789</v>
      </c>
      <c r="C36" t="s">
        <v>1826</v>
      </c>
      <c r="D36" t="s">
        <v>5</v>
      </c>
      <c r="E36" t="s">
        <v>1878</v>
      </c>
      <c r="F36" t="s">
        <v>2790</v>
      </c>
      <c r="G36" t="s">
        <v>1827</v>
      </c>
      <c r="H36" t="s">
        <v>47</v>
      </c>
      <c r="I36" t="s">
        <v>8</v>
      </c>
      <c r="J36" t="s">
        <v>1828</v>
      </c>
      <c r="K36" t="s">
        <v>1880</v>
      </c>
      <c r="L36" t="s">
        <v>1911</v>
      </c>
      <c r="M36" t="s">
        <v>63</v>
      </c>
      <c r="N36">
        <f>Main5[[#This Row],[Quantity]]*Main5[[#This Row],[Unit Price]]</f>
        <v>2532.25</v>
      </c>
      <c r="O36">
        <f>Main5[[#This Row],[Unit Price]]-Main5[[#This Row],[Unit Price]]*0.2</f>
        <v>405.15999999999997</v>
      </c>
      <c r="P36">
        <f>Main5[[#This Row],[Total Price]]-Main5[[#This Row],[Cost Price]]</f>
        <v>2127.09</v>
      </c>
      <c r="Q36" t="str">
        <f>TEXT(Main5[[#This Row],[Date]],"mmm")</f>
        <v>Dec</v>
      </c>
    </row>
    <row r="37" spans="1:17" x14ac:dyDescent="0.25">
      <c r="A37" t="s">
        <v>448</v>
      </c>
      <c r="B37" t="s">
        <v>2101</v>
      </c>
      <c r="C37" t="s">
        <v>449</v>
      </c>
      <c r="D37" t="s">
        <v>35</v>
      </c>
      <c r="E37" t="s">
        <v>1878</v>
      </c>
      <c r="F37" t="s">
        <v>2102</v>
      </c>
      <c r="G37" t="s">
        <v>450</v>
      </c>
      <c r="H37" t="s">
        <v>47</v>
      </c>
      <c r="I37" t="s">
        <v>8</v>
      </c>
      <c r="J37" t="s">
        <v>451</v>
      </c>
      <c r="K37" t="s">
        <v>1880</v>
      </c>
      <c r="L37" t="s">
        <v>1889</v>
      </c>
      <c r="M37" t="s">
        <v>63</v>
      </c>
      <c r="N37">
        <f>Main5[[#This Row],[Quantity]]*Main5[[#This Row],[Unit Price]]</f>
        <v>2513.5499999999997</v>
      </c>
      <c r="O37">
        <f>Main5[[#This Row],[Unit Price]]-Main5[[#This Row],[Unit Price]]*0.2</f>
        <v>402.16800000000001</v>
      </c>
      <c r="P37">
        <f>Main5[[#This Row],[Total Price]]-Main5[[#This Row],[Cost Price]]</f>
        <v>2111.3819999999996</v>
      </c>
      <c r="Q37" t="str">
        <f>TEXT(Main5[[#This Row],[Date]],"mmm")</f>
        <v>Oct</v>
      </c>
    </row>
    <row r="38" spans="1:17" x14ac:dyDescent="0.25">
      <c r="A38" t="s">
        <v>1357</v>
      </c>
      <c r="B38" t="s">
        <v>2547</v>
      </c>
      <c r="C38" t="s">
        <v>1358</v>
      </c>
      <c r="D38" t="s">
        <v>13</v>
      </c>
      <c r="E38" t="s">
        <v>1894</v>
      </c>
      <c r="F38" t="s">
        <v>2548</v>
      </c>
      <c r="G38" t="s">
        <v>1359</v>
      </c>
      <c r="H38" t="s">
        <v>15</v>
      </c>
      <c r="I38" t="s">
        <v>37</v>
      </c>
      <c r="J38" t="s">
        <v>1360</v>
      </c>
      <c r="K38" t="s">
        <v>1900</v>
      </c>
      <c r="L38" t="s">
        <v>1911</v>
      </c>
      <c r="M38" t="s">
        <v>10</v>
      </c>
      <c r="N38">
        <f>Main5[[#This Row],[Quantity]]*Main5[[#This Row],[Unit Price]]</f>
        <v>2512.48</v>
      </c>
      <c r="O38">
        <f>Main5[[#This Row],[Unit Price]]-Main5[[#This Row],[Unit Price]]*0.2</f>
        <v>502.49599999999998</v>
      </c>
      <c r="P38">
        <f>Main5[[#This Row],[Total Price]]-Main5[[#This Row],[Cost Price]]</f>
        <v>2009.9839999999999</v>
      </c>
      <c r="Q38" t="str">
        <f>TEXT(Main5[[#This Row],[Date]],"mmm")</f>
        <v>Jul</v>
      </c>
    </row>
    <row r="39" spans="1:17" x14ac:dyDescent="0.25">
      <c r="A39" t="s">
        <v>33</v>
      </c>
      <c r="B39" t="s">
        <v>1893</v>
      </c>
      <c r="C39" t="s">
        <v>34</v>
      </c>
      <c r="D39" t="s">
        <v>35</v>
      </c>
      <c r="E39" t="s">
        <v>1894</v>
      </c>
      <c r="F39" t="s">
        <v>1895</v>
      </c>
      <c r="G39" t="s">
        <v>36</v>
      </c>
      <c r="H39" t="s">
        <v>15</v>
      </c>
      <c r="I39" t="s">
        <v>37</v>
      </c>
      <c r="J39" t="s">
        <v>38</v>
      </c>
      <c r="K39" t="s">
        <v>1888</v>
      </c>
      <c r="L39" t="s">
        <v>1881</v>
      </c>
      <c r="M39" t="s">
        <v>25</v>
      </c>
      <c r="N39">
        <f>Main5[[#This Row],[Quantity]]*Main5[[#This Row],[Unit Price]]</f>
        <v>2504.04</v>
      </c>
      <c r="O39">
        <f>Main5[[#This Row],[Unit Price]]-Main5[[#This Row],[Unit Price]]*0.2</f>
        <v>500.80799999999999</v>
      </c>
      <c r="P39">
        <f>Main5[[#This Row],[Total Price]]-Main5[[#This Row],[Cost Price]]</f>
        <v>2003.232</v>
      </c>
      <c r="Q39" t="str">
        <f>TEXT(Main5[[#This Row],[Date]],"mmm")</f>
        <v>May</v>
      </c>
    </row>
    <row r="40" spans="1:17" x14ac:dyDescent="0.25">
      <c r="A40" t="s">
        <v>435</v>
      </c>
      <c r="B40" t="s">
        <v>2095</v>
      </c>
      <c r="C40" t="s">
        <v>436</v>
      </c>
      <c r="D40" t="s">
        <v>5</v>
      </c>
      <c r="E40" t="s">
        <v>1878</v>
      </c>
      <c r="F40" t="s">
        <v>2096</v>
      </c>
      <c r="G40" t="s">
        <v>437</v>
      </c>
      <c r="H40" t="s">
        <v>15</v>
      </c>
      <c r="I40" t="s">
        <v>75</v>
      </c>
      <c r="J40" t="s">
        <v>438</v>
      </c>
      <c r="K40" t="s">
        <v>1888</v>
      </c>
      <c r="L40" t="s">
        <v>1881</v>
      </c>
      <c r="M40" t="s">
        <v>63</v>
      </c>
      <c r="N40">
        <f>Main5[[#This Row],[Quantity]]*Main5[[#This Row],[Unit Price]]</f>
        <v>2492.4</v>
      </c>
      <c r="O40">
        <f>Main5[[#This Row],[Unit Price]]-Main5[[#This Row],[Unit Price]]*0.2</f>
        <v>398.78399999999999</v>
      </c>
      <c r="P40">
        <f>Main5[[#This Row],[Total Price]]-Main5[[#This Row],[Cost Price]]</f>
        <v>2093.616</v>
      </c>
      <c r="Q40" t="str">
        <f>TEXT(Main5[[#This Row],[Date]],"mmm")</f>
        <v>Jan</v>
      </c>
    </row>
    <row r="41" spans="1:17" x14ac:dyDescent="0.25">
      <c r="A41" t="s">
        <v>1377</v>
      </c>
      <c r="B41" t="s">
        <v>2557</v>
      </c>
      <c r="C41" t="s">
        <v>1378</v>
      </c>
      <c r="D41" t="s">
        <v>28</v>
      </c>
      <c r="E41" t="s">
        <v>1878</v>
      </c>
      <c r="F41" t="s">
        <v>2558</v>
      </c>
      <c r="G41" t="s">
        <v>845</v>
      </c>
      <c r="H41" t="s">
        <v>52</v>
      </c>
      <c r="I41" t="s">
        <v>8</v>
      </c>
      <c r="J41" t="s">
        <v>1379</v>
      </c>
      <c r="K41" t="s">
        <v>1954</v>
      </c>
      <c r="L41" t="s">
        <v>1889</v>
      </c>
      <c r="M41" t="s">
        <v>25</v>
      </c>
      <c r="N41">
        <f>Main5[[#This Row],[Quantity]]*Main5[[#This Row],[Unit Price]]</f>
        <v>2464.6999999999998</v>
      </c>
      <c r="O41">
        <f>Main5[[#This Row],[Unit Price]]-Main5[[#This Row],[Unit Price]]*0.2</f>
        <v>394.35199999999998</v>
      </c>
      <c r="P41">
        <f>Main5[[#This Row],[Total Price]]-Main5[[#This Row],[Cost Price]]</f>
        <v>2070.348</v>
      </c>
      <c r="Q41" t="str">
        <f>TEXT(Main5[[#This Row],[Date]],"mmm")</f>
        <v>Sep</v>
      </c>
    </row>
    <row r="42" spans="1:17" x14ac:dyDescent="0.25">
      <c r="A42" t="s">
        <v>354</v>
      </c>
      <c r="B42" t="s">
        <v>2055</v>
      </c>
      <c r="C42" t="s">
        <v>355</v>
      </c>
      <c r="D42" t="s">
        <v>45</v>
      </c>
      <c r="E42" t="s">
        <v>1878</v>
      </c>
      <c r="F42" t="s">
        <v>2056</v>
      </c>
      <c r="G42" t="s">
        <v>356</v>
      </c>
      <c r="H42" t="s">
        <v>52</v>
      </c>
      <c r="I42" t="s">
        <v>8</v>
      </c>
      <c r="J42" t="s">
        <v>357</v>
      </c>
      <c r="K42" t="s">
        <v>1900</v>
      </c>
      <c r="L42" t="s">
        <v>1911</v>
      </c>
      <c r="M42" t="s">
        <v>17</v>
      </c>
      <c r="N42">
        <f>Main5[[#This Row],[Quantity]]*Main5[[#This Row],[Unit Price]]</f>
        <v>2463.75</v>
      </c>
      <c r="O42">
        <f>Main5[[#This Row],[Unit Price]]-Main5[[#This Row],[Unit Price]]*0.2</f>
        <v>394.2</v>
      </c>
      <c r="P42">
        <f>Main5[[#This Row],[Total Price]]-Main5[[#This Row],[Cost Price]]</f>
        <v>2069.5500000000002</v>
      </c>
      <c r="Q42" t="str">
        <f>TEXT(Main5[[#This Row],[Date]],"mmm")</f>
        <v>Mar</v>
      </c>
    </row>
    <row r="43" spans="1:17" x14ac:dyDescent="0.25">
      <c r="A43" t="s">
        <v>1229</v>
      </c>
      <c r="B43" t="s">
        <v>2483</v>
      </c>
      <c r="C43" t="s">
        <v>1230</v>
      </c>
      <c r="D43" t="s">
        <v>60</v>
      </c>
      <c r="E43" t="s">
        <v>1894</v>
      </c>
      <c r="F43" t="s">
        <v>2484</v>
      </c>
      <c r="G43" t="s">
        <v>1231</v>
      </c>
      <c r="H43" t="s">
        <v>15</v>
      </c>
      <c r="I43" t="s">
        <v>30</v>
      </c>
      <c r="J43" t="s">
        <v>1232</v>
      </c>
      <c r="K43" t="s">
        <v>1894</v>
      </c>
      <c r="L43" t="s">
        <v>1911</v>
      </c>
      <c r="M43" t="s">
        <v>10</v>
      </c>
      <c r="N43">
        <f>Main5[[#This Row],[Quantity]]*Main5[[#This Row],[Unit Price]]</f>
        <v>2463.3200000000002</v>
      </c>
      <c r="O43">
        <f>Main5[[#This Row],[Unit Price]]-Main5[[#This Row],[Unit Price]]*0.2</f>
        <v>492.66400000000004</v>
      </c>
      <c r="P43">
        <f>Main5[[#This Row],[Total Price]]-Main5[[#This Row],[Cost Price]]</f>
        <v>1970.6560000000002</v>
      </c>
      <c r="Q43" t="str">
        <f>TEXT(Main5[[#This Row],[Date]],"mmm")</f>
        <v>May</v>
      </c>
    </row>
    <row r="44" spans="1:17" x14ac:dyDescent="0.25">
      <c r="A44" t="s">
        <v>963</v>
      </c>
      <c r="B44" t="s">
        <v>2354</v>
      </c>
      <c r="C44" t="s">
        <v>964</v>
      </c>
      <c r="D44" t="s">
        <v>60</v>
      </c>
      <c r="E44" t="s">
        <v>1878</v>
      </c>
      <c r="F44" t="s">
        <v>2355</v>
      </c>
      <c r="G44" t="s">
        <v>965</v>
      </c>
      <c r="H44" t="s">
        <v>15</v>
      </c>
      <c r="I44" t="s">
        <v>30</v>
      </c>
      <c r="J44" t="s">
        <v>966</v>
      </c>
      <c r="K44" t="s">
        <v>1888</v>
      </c>
      <c r="L44" t="s">
        <v>1906</v>
      </c>
      <c r="M44" t="s">
        <v>10</v>
      </c>
      <c r="N44">
        <f>Main5[[#This Row],[Quantity]]*Main5[[#This Row],[Unit Price]]</f>
        <v>2446.85</v>
      </c>
      <c r="O44">
        <f>Main5[[#This Row],[Unit Price]]-Main5[[#This Row],[Unit Price]]*0.2</f>
        <v>391.49599999999998</v>
      </c>
      <c r="P44">
        <f>Main5[[#This Row],[Total Price]]-Main5[[#This Row],[Cost Price]]</f>
        <v>2055.3539999999998</v>
      </c>
      <c r="Q44" t="str">
        <f>TEXT(Main5[[#This Row],[Date]],"mmm")</f>
        <v>May</v>
      </c>
    </row>
    <row r="45" spans="1:17" x14ac:dyDescent="0.25">
      <c r="A45" t="s">
        <v>1079</v>
      </c>
      <c r="B45" t="s">
        <v>2410</v>
      </c>
      <c r="C45" t="s">
        <v>1080</v>
      </c>
      <c r="D45" t="s">
        <v>60</v>
      </c>
      <c r="E45" t="s">
        <v>1894</v>
      </c>
      <c r="F45" t="s">
        <v>2411</v>
      </c>
      <c r="G45" t="s">
        <v>1081</v>
      </c>
      <c r="H45" t="s">
        <v>7</v>
      </c>
      <c r="I45" t="s">
        <v>37</v>
      </c>
      <c r="J45" t="s">
        <v>1082</v>
      </c>
      <c r="K45" t="s">
        <v>1878</v>
      </c>
      <c r="L45" t="s">
        <v>1911</v>
      </c>
      <c r="M45" t="s">
        <v>17</v>
      </c>
      <c r="N45">
        <f>Main5[[#This Row],[Quantity]]*Main5[[#This Row],[Unit Price]]</f>
        <v>2426.2800000000002</v>
      </c>
      <c r="O45">
        <f>Main5[[#This Row],[Unit Price]]-Main5[[#This Row],[Unit Price]]*0.2</f>
        <v>485.25600000000003</v>
      </c>
      <c r="P45">
        <f>Main5[[#This Row],[Total Price]]-Main5[[#This Row],[Cost Price]]</f>
        <v>1941.0240000000001</v>
      </c>
      <c r="Q45" t="str">
        <f>TEXT(Main5[[#This Row],[Date]],"mmm")</f>
        <v>Jun</v>
      </c>
    </row>
    <row r="46" spans="1:17" x14ac:dyDescent="0.25">
      <c r="A46" t="s">
        <v>610</v>
      </c>
      <c r="B46" t="s">
        <v>2181</v>
      </c>
      <c r="C46" t="s">
        <v>611</v>
      </c>
      <c r="D46" t="s">
        <v>35</v>
      </c>
      <c r="E46" t="s">
        <v>1894</v>
      </c>
      <c r="F46" t="s">
        <v>2182</v>
      </c>
      <c r="G46" t="s">
        <v>612</v>
      </c>
      <c r="H46" t="s">
        <v>7</v>
      </c>
      <c r="I46" t="s">
        <v>37</v>
      </c>
      <c r="J46" t="s">
        <v>613</v>
      </c>
      <c r="K46" t="s">
        <v>1903</v>
      </c>
      <c r="L46" t="s">
        <v>1881</v>
      </c>
      <c r="M46" t="s">
        <v>25</v>
      </c>
      <c r="N46">
        <f>Main5[[#This Row],[Quantity]]*Main5[[#This Row],[Unit Price]]</f>
        <v>2403.2399999999998</v>
      </c>
      <c r="O46">
        <f>Main5[[#This Row],[Unit Price]]-Main5[[#This Row],[Unit Price]]*0.2</f>
        <v>480.64799999999997</v>
      </c>
      <c r="P46">
        <f>Main5[[#This Row],[Total Price]]-Main5[[#This Row],[Cost Price]]</f>
        <v>1922.5919999999999</v>
      </c>
      <c r="Q46" t="str">
        <f>TEXT(Main5[[#This Row],[Date]],"mmm")</f>
        <v>Apr</v>
      </c>
    </row>
    <row r="47" spans="1:17" x14ac:dyDescent="0.25">
      <c r="A47" t="s">
        <v>237</v>
      </c>
      <c r="B47" t="s">
        <v>1997</v>
      </c>
      <c r="C47" t="s">
        <v>238</v>
      </c>
      <c r="D47" t="s">
        <v>28</v>
      </c>
      <c r="E47" t="s">
        <v>1894</v>
      </c>
      <c r="F47" t="s">
        <v>1998</v>
      </c>
      <c r="G47" t="s">
        <v>239</v>
      </c>
      <c r="H47" t="s">
        <v>15</v>
      </c>
      <c r="I47" t="s">
        <v>8</v>
      </c>
      <c r="J47" t="s">
        <v>240</v>
      </c>
      <c r="K47" t="s">
        <v>1878</v>
      </c>
      <c r="L47" t="s">
        <v>1906</v>
      </c>
      <c r="M47" t="s">
        <v>32</v>
      </c>
      <c r="N47">
        <f>Main5[[#This Row],[Quantity]]*Main5[[#This Row],[Unit Price]]</f>
        <v>2373.08</v>
      </c>
      <c r="O47">
        <f>Main5[[#This Row],[Unit Price]]-Main5[[#This Row],[Unit Price]]*0.2</f>
        <v>474.61599999999999</v>
      </c>
      <c r="P47">
        <f>Main5[[#This Row],[Total Price]]-Main5[[#This Row],[Cost Price]]</f>
        <v>1898.4639999999999</v>
      </c>
      <c r="Q47" t="str">
        <f>TEXT(Main5[[#This Row],[Date]],"mmm")</f>
        <v>Sep</v>
      </c>
    </row>
    <row r="48" spans="1:17" x14ac:dyDescent="0.25">
      <c r="A48" t="s">
        <v>1083</v>
      </c>
      <c r="B48" t="s">
        <v>2412</v>
      </c>
      <c r="C48" t="s">
        <v>1084</v>
      </c>
      <c r="D48" t="s">
        <v>13</v>
      </c>
      <c r="E48" t="s">
        <v>1894</v>
      </c>
      <c r="F48" t="s">
        <v>2413</v>
      </c>
      <c r="G48" t="s">
        <v>1085</v>
      </c>
      <c r="H48" t="s">
        <v>52</v>
      </c>
      <c r="I48" t="s">
        <v>75</v>
      </c>
      <c r="J48" t="s">
        <v>1086</v>
      </c>
      <c r="K48" t="s">
        <v>1888</v>
      </c>
      <c r="L48" t="s">
        <v>1906</v>
      </c>
      <c r="M48" t="s">
        <v>10</v>
      </c>
      <c r="N48">
        <f>Main5[[#This Row],[Quantity]]*Main5[[#This Row],[Unit Price]]</f>
        <v>2358.2800000000002</v>
      </c>
      <c r="O48">
        <f>Main5[[#This Row],[Unit Price]]-Main5[[#This Row],[Unit Price]]*0.2</f>
        <v>471.65600000000006</v>
      </c>
      <c r="P48">
        <f>Main5[[#This Row],[Total Price]]-Main5[[#This Row],[Cost Price]]</f>
        <v>1886.6240000000003</v>
      </c>
      <c r="Q48" t="str">
        <f>TEXT(Main5[[#This Row],[Date]],"mmm")</f>
        <v>Jun</v>
      </c>
    </row>
    <row r="49" spans="1:17" x14ac:dyDescent="0.25">
      <c r="A49" t="s">
        <v>1361</v>
      </c>
      <c r="B49" t="s">
        <v>2549</v>
      </c>
      <c r="C49" t="s">
        <v>1362</v>
      </c>
      <c r="D49" t="s">
        <v>5</v>
      </c>
      <c r="E49" t="s">
        <v>1894</v>
      </c>
      <c r="F49" t="s">
        <v>2550</v>
      </c>
      <c r="G49" t="s">
        <v>1363</v>
      </c>
      <c r="H49" t="s">
        <v>47</v>
      </c>
      <c r="I49" t="s">
        <v>75</v>
      </c>
      <c r="J49" t="s">
        <v>1364</v>
      </c>
      <c r="K49" t="s">
        <v>1880</v>
      </c>
      <c r="L49" t="s">
        <v>1906</v>
      </c>
      <c r="M49" t="s">
        <v>25</v>
      </c>
      <c r="N49">
        <f>Main5[[#This Row],[Quantity]]*Main5[[#This Row],[Unit Price]]</f>
        <v>2355.4</v>
      </c>
      <c r="O49">
        <f>Main5[[#This Row],[Unit Price]]-Main5[[#This Row],[Unit Price]]*0.2</f>
        <v>471.08000000000004</v>
      </c>
      <c r="P49">
        <f>Main5[[#This Row],[Total Price]]-Main5[[#This Row],[Cost Price]]</f>
        <v>1884.3200000000002</v>
      </c>
      <c r="Q49" t="str">
        <f>TEXT(Main5[[#This Row],[Date]],"mmm")</f>
        <v>Jan</v>
      </c>
    </row>
    <row r="50" spans="1:17" x14ac:dyDescent="0.25">
      <c r="A50" t="s">
        <v>862</v>
      </c>
      <c r="B50" t="s">
        <v>2306</v>
      </c>
      <c r="C50" t="s">
        <v>863</v>
      </c>
      <c r="D50" t="s">
        <v>28</v>
      </c>
      <c r="E50" t="s">
        <v>1878</v>
      </c>
      <c r="F50" t="s">
        <v>2307</v>
      </c>
      <c r="G50" t="s">
        <v>864</v>
      </c>
      <c r="H50" t="s">
        <v>7</v>
      </c>
      <c r="I50" t="s">
        <v>37</v>
      </c>
      <c r="J50" t="s">
        <v>865</v>
      </c>
      <c r="K50" t="s">
        <v>1903</v>
      </c>
      <c r="L50" t="s">
        <v>1906</v>
      </c>
      <c r="M50" t="s">
        <v>32</v>
      </c>
      <c r="N50">
        <f>Main5[[#This Row],[Quantity]]*Main5[[#This Row],[Unit Price]]</f>
        <v>2342.5500000000002</v>
      </c>
      <c r="O50">
        <f>Main5[[#This Row],[Unit Price]]-Main5[[#This Row],[Unit Price]]*0.2</f>
        <v>374.80799999999999</v>
      </c>
      <c r="P50">
        <f>Main5[[#This Row],[Total Price]]-Main5[[#This Row],[Cost Price]]</f>
        <v>1967.7420000000002</v>
      </c>
      <c r="Q50" t="str">
        <f>TEXT(Main5[[#This Row],[Date]],"mmm")</f>
        <v>Apr</v>
      </c>
    </row>
    <row r="51" spans="1:17" x14ac:dyDescent="0.25">
      <c r="A51" t="s">
        <v>1550</v>
      </c>
      <c r="B51" t="s">
        <v>2643</v>
      </c>
      <c r="C51" t="s">
        <v>1551</v>
      </c>
      <c r="D51" t="s">
        <v>45</v>
      </c>
      <c r="E51" t="s">
        <v>1894</v>
      </c>
      <c r="F51" t="s">
        <v>2644</v>
      </c>
      <c r="G51" t="s">
        <v>1552</v>
      </c>
      <c r="H51" t="s">
        <v>15</v>
      </c>
      <c r="I51" t="s">
        <v>37</v>
      </c>
      <c r="J51" t="s">
        <v>1553</v>
      </c>
      <c r="K51" t="s">
        <v>1894</v>
      </c>
      <c r="L51" t="s">
        <v>1889</v>
      </c>
      <c r="M51" t="s">
        <v>32</v>
      </c>
      <c r="N51">
        <f>Main5[[#This Row],[Quantity]]*Main5[[#This Row],[Unit Price]]</f>
        <v>2332.08</v>
      </c>
      <c r="O51">
        <f>Main5[[#This Row],[Unit Price]]-Main5[[#This Row],[Unit Price]]*0.2</f>
        <v>466.416</v>
      </c>
      <c r="P51">
        <f>Main5[[#This Row],[Total Price]]-Main5[[#This Row],[Cost Price]]</f>
        <v>1865.664</v>
      </c>
      <c r="Q51" t="str">
        <f>TEXT(Main5[[#This Row],[Date]],"mmm")</f>
        <v>Oct</v>
      </c>
    </row>
    <row r="52" spans="1:17" x14ac:dyDescent="0.25">
      <c r="A52" t="s">
        <v>1753</v>
      </c>
      <c r="B52" t="s">
        <v>2749</v>
      </c>
      <c r="C52" t="s">
        <v>1754</v>
      </c>
      <c r="D52" t="s">
        <v>45</v>
      </c>
      <c r="E52" t="s">
        <v>1894</v>
      </c>
      <c r="F52" t="s">
        <v>2750</v>
      </c>
      <c r="G52" t="s">
        <v>870</v>
      </c>
      <c r="H52" t="s">
        <v>47</v>
      </c>
      <c r="I52" t="s">
        <v>23</v>
      </c>
      <c r="J52" t="s">
        <v>1755</v>
      </c>
      <c r="K52" t="s">
        <v>1878</v>
      </c>
      <c r="L52" t="s">
        <v>1889</v>
      </c>
      <c r="M52" t="s">
        <v>25</v>
      </c>
      <c r="N52">
        <f>Main5[[#This Row],[Quantity]]*Main5[[#This Row],[Unit Price]]</f>
        <v>2313.12</v>
      </c>
      <c r="O52">
        <f>Main5[[#This Row],[Unit Price]]-Main5[[#This Row],[Unit Price]]*0.2</f>
        <v>462.62399999999997</v>
      </c>
      <c r="P52">
        <f>Main5[[#This Row],[Total Price]]-Main5[[#This Row],[Cost Price]]</f>
        <v>1850.4959999999999</v>
      </c>
      <c r="Q52" t="str">
        <f>TEXT(Main5[[#This Row],[Date]],"mmm")</f>
        <v>Jun</v>
      </c>
    </row>
    <row r="53" spans="1:17" x14ac:dyDescent="0.25">
      <c r="A53" t="s">
        <v>157</v>
      </c>
      <c r="B53" t="s">
        <v>1957</v>
      </c>
      <c r="C53" t="s">
        <v>158</v>
      </c>
      <c r="D53" t="s">
        <v>28</v>
      </c>
      <c r="E53" t="s">
        <v>1894</v>
      </c>
      <c r="F53" t="s">
        <v>1958</v>
      </c>
      <c r="G53" t="s">
        <v>159</v>
      </c>
      <c r="H53" t="s">
        <v>22</v>
      </c>
      <c r="I53" t="s">
        <v>75</v>
      </c>
      <c r="J53" t="s">
        <v>160</v>
      </c>
      <c r="K53" t="s">
        <v>1878</v>
      </c>
      <c r="L53" t="s">
        <v>1911</v>
      </c>
      <c r="M53" t="s">
        <v>32</v>
      </c>
      <c r="N53">
        <f>Main5[[#This Row],[Quantity]]*Main5[[#This Row],[Unit Price]]</f>
        <v>2306.08</v>
      </c>
      <c r="O53">
        <f>Main5[[#This Row],[Unit Price]]-Main5[[#This Row],[Unit Price]]*0.2</f>
        <v>461.21600000000001</v>
      </c>
      <c r="P53">
        <f>Main5[[#This Row],[Total Price]]-Main5[[#This Row],[Cost Price]]</f>
        <v>1844.864</v>
      </c>
      <c r="Q53" t="str">
        <f>TEXT(Main5[[#This Row],[Date]],"mmm")</f>
        <v>Jan</v>
      </c>
    </row>
    <row r="54" spans="1:17" x14ac:dyDescent="0.25">
      <c r="A54" t="s">
        <v>1341</v>
      </c>
      <c r="B54" t="s">
        <v>2539</v>
      </c>
      <c r="C54" t="s">
        <v>1342</v>
      </c>
      <c r="D54" t="s">
        <v>35</v>
      </c>
      <c r="E54" t="s">
        <v>1878</v>
      </c>
      <c r="F54" t="s">
        <v>2540</v>
      </c>
      <c r="G54" t="s">
        <v>1343</v>
      </c>
      <c r="H54" t="s">
        <v>52</v>
      </c>
      <c r="I54" t="s">
        <v>75</v>
      </c>
      <c r="J54" t="s">
        <v>1344</v>
      </c>
      <c r="K54" t="s">
        <v>1954</v>
      </c>
      <c r="L54" t="s">
        <v>1906</v>
      </c>
      <c r="M54" t="s">
        <v>10</v>
      </c>
      <c r="N54">
        <f>Main5[[#This Row],[Quantity]]*Main5[[#This Row],[Unit Price]]</f>
        <v>2280.3000000000002</v>
      </c>
      <c r="O54">
        <f>Main5[[#This Row],[Unit Price]]-Main5[[#This Row],[Unit Price]]*0.2</f>
        <v>364.84800000000001</v>
      </c>
      <c r="P54">
        <f>Main5[[#This Row],[Total Price]]-Main5[[#This Row],[Cost Price]]</f>
        <v>1915.4520000000002</v>
      </c>
      <c r="Q54" t="str">
        <f>TEXT(Main5[[#This Row],[Date]],"mmm")</f>
        <v>Aug</v>
      </c>
    </row>
    <row r="55" spans="1:17" x14ac:dyDescent="0.25">
      <c r="A55" t="s">
        <v>346</v>
      </c>
      <c r="B55" t="s">
        <v>2051</v>
      </c>
      <c r="C55" t="s">
        <v>347</v>
      </c>
      <c r="D55" t="s">
        <v>35</v>
      </c>
      <c r="E55" t="s">
        <v>1878</v>
      </c>
      <c r="F55" t="s">
        <v>2052</v>
      </c>
      <c r="G55" t="s">
        <v>348</v>
      </c>
      <c r="H55" t="s">
        <v>22</v>
      </c>
      <c r="I55" t="s">
        <v>23</v>
      </c>
      <c r="J55" t="s">
        <v>349</v>
      </c>
      <c r="K55" t="s">
        <v>1888</v>
      </c>
      <c r="L55" t="s">
        <v>1889</v>
      </c>
      <c r="M55" t="s">
        <v>63</v>
      </c>
      <c r="N55">
        <f>Main5[[#This Row],[Quantity]]*Main5[[#This Row],[Unit Price]]</f>
        <v>2276.65</v>
      </c>
      <c r="O55">
        <f>Main5[[#This Row],[Unit Price]]-Main5[[#This Row],[Unit Price]]*0.2</f>
        <v>364.26400000000001</v>
      </c>
      <c r="P55">
        <f>Main5[[#This Row],[Total Price]]-Main5[[#This Row],[Cost Price]]</f>
        <v>1912.386</v>
      </c>
      <c r="Q55" t="str">
        <f>TEXT(Main5[[#This Row],[Date]],"mmm")</f>
        <v>Feb</v>
      </c>
    </row>
    <row r="56" spans="1:17" x14ac:dyDescent="0.25">
      <c r="A56" t="s">
        <v>321</v>
      </c>
      <c r="B56" t="s">
        <v>2039</v>
      </c>
      <c r="C56" t="s">
        <v>322</v>
      </c>
      <c r="D56" t="s">
        <v>20</v>
      </c>
      <c r="E56" t="s">
        <v>1894</v>
      </c>
      <c r="F56" t="s">
        <v>2040</v>
      </c>
      <c r="G56" t="s">
        <v>323</v>
      </c>
      <c r="H56" t="s">
        <v>7</v>
      </c>
      <c r="I56" t="s">
        <v>8</v>
      </c>
      <c r="J56" t="s">
        <v>324</v>
      </c>
      <c r="K56" t="s">
        <v>1903</v>
      </c>
      <c r="L56" t="s">
        <v>1881</v>
      </c>
      <c r="M56" t="s">
        <v>63</v>
      </c>
      <c r="N56">
        <f>Main5[[#This Row],[Quantity]]*Main5[[#This Row],[Unit Price]]</f>
        <v>2260.8000000000002</v>
      </c>
      <c r="O56">
        <f>Main5[[#This Row],[Unit Price]]-Main5[[#This Row],[Unit Price]]*0.2</f>
        <v>452.16</v>
      </c>
      <c r="P56">
        <f>Main5[[#This Row],[Total Price]]-Main5[[#This Row],[Cost Price]]</f>
        <v>1808.64</v>
      </c>
      <c r="Q56" t="str">
        <f>TEXT(Main5[[#This Row],[Date]],"mmm")</f>
        <v>Jan</v>
      </c>
    </row>
    <row r="57" spans="1:17" x14ac:dyDescent="0.25">
      <c r="A57" t="s">
        <v>556</v>
      </c>
      <c r="B57" t="s">
        <v>2155</v>
      </c>
      <c r="C57" t="s">
        <v>557</v>
      </c>
      <c r="D57" t="s">
        <v>35</v>
      </c>
      <c r="E57" t="s">
        <v>1878</v>
      </c>
      <c r="F57" t="s">
        <v>2156</v>
      </c>
      <c r="G57" t="s">
        <v>558</v>
      </c>
      <c r="H57" t="s">
        <v>7</v>
      </c>
      <c r="I57" t="s">
        <v>30</v>
      </c>
      <c r="J57" t="s">
        <v>559</v>
      </c>
      <c r="K57" t="s">
        <v>1880</v>
      </c>
      <c r="L57" t="s">
        <v>1906</v>
      </c>
      <c r="M57" t="s">
        <v>25</v>
      </c>
      <c r="N57">
        <f>Main5[[#This Row],[Quantity]]*Main5[[#This Row],[Unit Price]]</f>
        <v>2223.8000000000002</v>
      </c>
      <c r="O57">
        <f>Main5[[#This Row],[Unit Price]]-Main5[[#This Row],[Unit Price]]*0.2</f>
        <v>355.80799999999999</v>
      </c>
      <c r="P57">
        <f>Main5[[#This Row],[Total Price]]-Main5[[#This Row],[Cost Price]]</f>
        <v>1867.9920000000002</v>
      </c>
      <c r="Q57" t="str">
        <f>TEXT(Main5[[#This Row],[Date]],"mmm")</f>
        <v>Dec</v>
      </c>
    </row>
    <row r="58" spans="1:17" x14ac:dyDescent="0.25">
      <c r="A58" t="s">
        <v>1795</v>
      </c>
      <c r="B58" t="s">
        <v>2771</v>
      </c>
      <c r="C58" t="s">
        <v>1796</v>
      </c>
      <c r="D58" t="s">
        <v>45</v>
      </c>
      <c r="E58" t="s">
        <v>1894</v>
      </c>
      <c r="F58" t="s">
        <v>2772</v>
      </c>
      <c r="G58" t="s">
        <v>1598</v>
      </c>
      <c r="H58" t="s">
        <v>52</v>
      </c>
      <c r="I58" t="s">
        <v>30</v>
      </c>
      <c r="J58" t="s">
        <v>1797</v>
      </c>
      <c r="K58" t="s">
        <v>1900</v>
      </c>
      <c r="L58" t="s">
        <v>1906</v>
      </c>
      <c r="M58" t="s">
        <v>63</v>
      </c>
      <c r="N58">
        <f>Main5[[#This Row],[Quantity]]*Main5[[#This Row],[Unit Price]]</f>
        <v>2219.3200000000002</v>
      </c>
      <c r="O58">
        <f>Main5[[#This Row],[Unit Price]]-Main5[[#This Row],[Unit Price]]*0.2</f>
        <v>443.86400000000003</v>
      </c>
      <c r="P58">
        <f>Main5[[#This Row],[Total Price]]-Main5[[#This Row],[Cost Price]]</f>
        <v>1775.4560000000001</v>
      </c>
      <c r="Q58" t="str">
        <f>TEXT(Main5[[#This Row],[Date]],"mmm")</f>
        <v>May</v>
      </c>
    </row>
    <row r="59" spans="1:17" x14ac:dyDescent="0.25">
      <c r="A59" t="s">
        <v>193</v>
      </c>
      <c r="B59" t="s">
        <v>1975</v>
      </c>
      <c r="C59" t="s">
        <v>194</v>
      </c>
      <c r="D59" t="s">
        <v>5</v>
      </c>
      <c r="E59" t="s">
        <v>1894</v>
      </c>
      <c r="F59" t="s">
        <v>1976</v>
      </c>
      <c r="G59" t="s">
        <v>195</v>
      </c>
      <c r="H59" t="s">
        <v>7</v>
      </c>
      <c r="I59" t="s">
        <v>75</v>
      </c>
      <c r="J59" t="s">
        <v>196</v>
      </c>
      <c r="K59" t="s">
        <v>1894</v>
      </c>
      <c r="L59" t="s">
        <v>1889</v>
      </c>
      <c r="M59" t="s">
        <v>10</v>
      </c>
      <c r="N59">
        <f>Main5[[#This Row],[Quantity]]*Main5[[#This Row],[Unit Price]]</f>
        <v>2200.56</v>
      </c>
      <c r="O59">
        <f>Main5[[#This Row],[Unit Price]]-Main5[[#This Row],[Unit Price]]*0.2</f>
        <v>440.11199999999997</v>
      </c>
      <c r="P59">
        <f>Main5[[#This Row],[Total Price]]-Main5[[#This Row],[Cost Price]]</f>
        <v>1760.4479999999999</v>
      </c>
      <c r="Q59" t="str">
        <f>TEXT(Main5[[#This Row],[Date]],"mmm")</f>
        <v>Jun</v>
      </c>
    </row>
    <row r="60" spans="1:17" x14ac:dyDescent="0.25">
      <c r="A60" t="s">
        <v>955</v>
      </c>
      <c r="B60" t="s">
        <v>2350</v>
      </c>
      <c r="C60" t="s">
        <v>956</v>
      </c>
      <c r="D60" t="s">
        <v>28</v>
      </c>
      <c r="E60" t="s">
        <v>1894</v>
      </c>
      <c r="F60" t="s">
        <v>2351</v>
      </c>
      <c r="G60" t="s">
        <v>957</v>
      </c>
      <c r="H60" t="s">
        <v>7</v>
      </c>
      <c r="I60" t="s">
        <v>37</v>
      </c>
      <c r="J60" t="s">
        <v>958</v>
      </c>
      <c r="K60" t="s">
        <v>1894</v>
      </c>
      <c r="L60" t="s">
        <v>1889</v>
      </c>
      <c r="M60" t="s">
        <v>32</v>
      </c>
      <c r="N60">
        <f>Main5[[#This Row],[Quantity]]*Main5[[#This Row],[Unit Price]]</f>
        <v>2199.04</v>
      </c>
      <c r="O60">
        <f>Main5[[#This Row],[Unit Price]]-Main5[[#This Row],[Unit Price]]*0.2</f>
        <v>439.80799999999999</v>
      </c>
      <c r="P60">
        <f>Main5[[#This Row],[Total Price]]-Main5[[#This Row],[Cost Price]]</f>
        <v>1759.232</v>
      </c>
      <c r="Q60" t="str">
        <f>TEXT(Main5[[#This Row],[Date]],"mmm")</f>
        <v>Oct</v>
      </c>
    </row>
    <row r="61" spans="1:17" x14ac:dyDescent="0.25">
      <c r="A61" t="s">
        <v>905</v>
      </c>
      <c r="B61" t="s">
        <v>2326</v>
      </c>
      <c r="C61" t="s">
        <v>906</v>
      </c>
      <c r="D61" t="s">
        <v>45</v>
      </c>
      <c r="E61" t="s">
        <v>1894</v>
      </c>
      <c r="F61" t="s">
        <v>2327</v>
      </c>
      <c r="G61" t="s">
        <v>907</v>
      </c>
      <c r="H61" t="s">
        <v>52</v>
      </c>
      <c r="I61" t="s">
        <v>8</v>
      </c>
      <c r="J61" t="s">
        <v>908</v>
      </c>
      <c r="K61" t="s">
        <v>1900</v>
      </c>
      <c r="L61" t="s">
        <v>1906</v>
      </c>
      <c r="M61" t="s">
        <v>63</v>
      </c>
      <c r="N61">
        <f>Main5[[#This Row],[Quantity]]*Main5[[#This Row],[Unit Price]]</f>
        <v>2161.3200000000002</v>
      </c>
      <c r="O61">
        <f>Main5[[#This Row],[Unit Price]]-Main5[[#This Row],[Unit Price]]*0.2</f>
        <v>432.26400000000001</v>
      </c>
      <c r="P61">
        <f>Main5[[#This Row],[Total Price]]-Main5[[#This Row],[Cost Price]]</f>
        <v>1729.056</v>
      </c>
      <c r="Q61" t="str">
        <f>TEXT(Main5[[#This Row],[Date]],"mmm")</f>
        <v>Feb</v>
      </c>
    </row>
    <row r="62" spans="1:17" x14ac:dyDescent="0.25">
      <c r="A62" t="s">
        <v>622</v>
      </c>
      <c r="B62" t="s">
        <v>2187</v>
      </c>
      <c r="C62" t="s">
        <v>623</v>
      </c>
      <c r="D62" t="s">
        <v>28</v>
      </c>
      <c r="E62" t="s">
        <v>1878</v>
      </c>
      <c r="F62" t="s">
        <v>2188</v>
      </c>
      <c r="G62" t="s">
        <v>624</v>
      </c>
      <c r="H62" t="s">
        <v>22</v>
      </c>
      <c r="I62" t="s">
        <v>75</v>
      </c>
      <c r="J62" t="s">
        <v>625</v>
      </c>
      <c r="K62" t="s">
        <v>1954</v>
      </c>
      <c r="L62" t="s">
        <v>1906</v>
      </c>
      <c r="M62" t="s">
        <v>32</v>
      </c>
      <c r="N62">
        <f>Main5[[#This Row],[Quantity]]*Main5[[#This Row],[Unit Price]]</f>
        <v>2158.4499999999998</v>
      </c>
      <c r="O62">
        <f>Main5[[#This Row],[Unit Price]]-Main5[[#This Row],[Unit Price]]*0.2</f>
        <v>345.35199999999998</v>
      </c>
      <c r="P62">
        <f>Main5[[#This Row],[Total Price]]-Main5[[#This Row],[Cost Price]]</f>
        <v>1813.098</v>
      </c>
      <c r="Q62" t="str">
        <f>TEXT(Main5[[#This Row],[Date]],"mmm")</f>
        <v>Aug</v>
      </c>
    </row>
    <row r="63" spans="1:17" x14ac:dyDescent="0.25">
      <c r="A63" t="s">
        <v>667</v>
      </c>
      <c r="B63" t="s">
        <v>2209</v>
      </c>
      <c r="C63" t="s">
        <v>668</v>
      </c>
      <c r="D63" t="s">
        <v>35</v>
      </c>
      <c r="E63" t="s">
        <v>1878</v>
      </c>
      <c r="F63" t="s">
        <v>2210</v>
      </c>
      <c r="G63" t="s">
        <v>669</v>
      </c>
      <c r="H63" t="s">
        <v>47</v>
      </c>
      <c r="I63" t="s">
        <v>23</v>
      </c>
      <c r="J63" t="s">
        <v>670</v>
      </c>
      <c r="K63" t="s">
        <v>1878</v>
      </c>
      <c r="L63" t="s">
        <v>1911</v>
      </c>
      <c r="M63" t="s">
        <v>25</v>
      </c>
      <c r="N63">
        <f>Main5[[#This Row],[Quantity]]*Main5[[#This Row],[Unit Price]]</f>
        <v>2147.25</v>
      </c>
      <c r="O63">
        <f>Main5[[#This Row],[Unit Price]]-Main5[[#This Row],[Unit Price]]*0.2</f>
        <v>343.56</v>
      </c>
      <c r="P63">
        <f>Main5[[#This Row],[Total Price]]-Main5[[#This Row],[Cost Price]]</f>
        <v>1803.69</v>
      </c>
      <c r="Q63" t="str">
        <f>TEXT(Main5[[#This Row],[Date]],"mmm")</f>
        <v>Jul</v>
      </c>
    </row>
    <row r="64" spans="1:17" x14ac:dyDescent="0.25">
      <c r="A64" t="s">
        <v>564</v>
      </c>
      <c r="B64" t="s">
        <v>2159</v>
      </c>
      <c r="C64" t="s">
        <v>565</v>
      </c>
      <c r="D64" t="s">
        <v>28</v>
      </c>
      <c r="E64" t="s">
        <v>1894</v>
      </c>
      <c r="F64" t="s">
        <v>2160</v>
      </c>
      <c r="G64" t="s">
        <v>566</v>
      </c>
      <c r="H64" t="s">
        <v>15</v>
      </c>
      <c r="I64" t="s">
        <v>30</v>
      </c>
      <c r="J64" t="s">
        <v>567</v>
      </c>
      <c r="K64" t="s">
        <v>1903</v>
      </c>
      <c r="L64" t="s">
        <v>1911</v>
      </c>
      <c r="M64" t="s">
        <v>10</v>
      </c>
      <c r="N64">
        <f>Main5[[#This Row],[Quantity]]*Main5[[#This Row],[Unit Price]]</f>
        <v>2137.92</v>
      </c>
      <c r="O64">
        <f>Main5[[#This Row],[Unit Price]]-Main5[[#This Row],[Unit Price]]*0.2</f>
        <v>427.584</v>
      </c>
      <c r="P64">
        <f>Main5[[#This Row],[Total Price]]-Main5[[#This Row],[Cost Price]]</f>
        <v>1710.336</v>
      </c>
      <c r="Q64" t="str">
        <f>TEXT(Main5[[#This Row],[Date]],"mmm")</f>
        <v>Dec</v>
      </c>
    </row>
    <row r="65" spans="1:17" x14ac:dyDescent="0.25">
      <c r="A65" t="s">
        <v>1567</v>
      </c>
      <c r="B65" t="s">
        <v>2653</v>
      </c>
      <c r="C65" t="s">
        <v>1568</v>
      </c>
      <c r="D65" t="s">
        <v>13</v>
      </c>
      <c r="E65" t="s">
        <v>1894</v>
      </c>
      <c r="F65" t="s">
        <v>2654</v>
      </c>
      <c r="G65" t="s">
        <v>1569</v>
      </c>
      <c r="H65" t="s">
        <v>52</v>
      </c>
      <c r="I65" t="s">
        <v>75</v>
      </c>
      <c r="J65" t="s">
        <v>1570</v>
      </c>
      <c r="K65" t="s">
        <v>1903</v>
      </c>
      <c r="L65" t="s">
        <v>1889</v>
      </c>
      <c r="M65" t="s">
        <v>10</v>
      </c>
      <c r="N65">
        <f>Main5[[#This Row],[Quantity]]*Main5[[#This Row],[Unit Price]]</f>
        <v>2131.48</v>
      </c>
      <c r="O65">
        <f>Main5[[#This Row],[Unit Price]]-Main5[[#This Row],[Unit Price]]*0.2</f>
        <v>426.29599999999999</v>
      </c>
      <c r="P65">
        <f>Main5[[#This Row],[Total Price]]-Main5[[#This Row],[Cost Price]]</f>
        <v>1705.184</v>
      </c>
      <c r="Q65" t="str">
        <f>TEXT(Main5[[#This Row],[Date]],"mmm")</f>
        <v>Jan</v>
      </c>
    </row>
    <row r="66" spans="1:17" x14ac:dyDescent="0.25">
      <c r="A66" t="s">
        <v>1136</v>
      </c>
      <c r="B66" t="s">
        <v>2438</v>
      </c>
      <c r="C66" t="s">
        <v>1137</v>
      </c>
      <c r="D66" t="s">
        <v>20</v>
      </c>
      <c r="E66" t="s">
        <v>1878</v>
      </c>
      <c r="F66" t="s">
        <v>2439</v>
      </c>
      <c r="G66" t="s">
        <v>1138</v>
      </c>
      <c r="H66" t="s">
        <v>7</v>
      </c>
      <c r="I66" t="s">
        <v>30</v>
      </c>
      <c r="J66" t="s">
        <v>1139</v>
      </c>
      <c r="K66" t="s">
        <v>1878</v>
      </c>
      <c r="L66" t="s">
        <v>1889</v>
      </c>
      <c r="M66" t="s">
        <v>32</v>
      </c>
      <c r="N66">
        <f>Main5[[#This Row],[Quantity]]*Main5[[#This Row],[Unit Price]]</f>
        <v>2119.65</v>
      </c>
      <c r="O66">
        <f>Main5[[#This Row],[Unit Price]]-Main5[[#This Row],[Unit Price]]*0.2</f>
        <v>339.14400000000001</v>
      </c>
      <c r="P66">
        <f>Main5[[#This Row],[Total Price]]-Main5[[#This Row],[Cost Price]]</f>
        <v>1780.5060000000001</v>
      </c>
      <c r="Q66" t="str">
        <f>TEXT(Main5[[#This Row],[Date]],"mmm")</f>
        <v>Jan</v>
      </c>
    </row>
    <row r="67" spans="1:17" x14ac:dyDescent="0.25">
      <c r="A67" t="s">
        <v>1575</v>
      </c>
      <c r="B67" t="s">
        <v>2657</v>
      </c>
      <c r="C67" t="s">
        <v>1576</v>
      </c>
      <c r="D67" t="s">
        <v>45</v>
      </c>
      <c r="E67" t="s">
        <v>1885</v>
      </c>
      <c r="F67" t="s">
        <v>2658</v>
      </c>
      <c r="G67" t="s">
        <v>941</v>
      </c>
      <c r="H67" t="s">
        <v>52</v>
      </c>
      <c r="I67" t="s">
        <v>30</v>
      </c>
      <c r="J67" t="s">
        <v>1577</v>
      </c>
      <c r="K67" t="s">
        <v>1880</v>
      </c>
      <c r="L67" t="s">
        <v>1881</v>
      </c>
      <c r="M67" t="s">
        <v>63</v>
      </c>
      <c r="N67">
        <f>Main5[[#This Row],[Quantity]]*Main5[[#This Row],[Unit Price]]</f>
        <v>2099.79</v>
      </c>
      <c r="O67">
        <f>Main5[[#This Row],[Unit Price]]-Main5[[#This Row],[Unit Price]]*0.2</f>
        <v>559.94399999999996</v>
      </c>
      <c r="P67">
        <f>Main5[[#This Row],[Total Price]]-Main5[[#This Row],[Cost Price]]</f>
        <v>1539.846</v>
      </c>
      <c r="Q67" t="str">
        <f>TEXT(Main5[[#This Row],[Date]],"mmm")</f>
        <v>Nov</v>
      </c>
    </row>
    <row r="68" spans="1:17" x14ac:dyDescent="0.25">
      <c r="A68" t="s">
        <v>1564</v>
      </c>
      <c r="B68" t="s">
        <v>2651</v>
      </c>
      <c r="C68" t="s">
        <v>1565</v>
      </c>
      <c r="D68" t="s">
        <v>5</v>
      </c>
      <c r="E68" t="s">
        <v>1878</v>
      </c>
      <c r="F68" t="s">
        <v>2652</v>
      </c>
      <c r="G68" t="s">
        <v>1295</v>
      </c>
      <c r="H68" t="s">
        <v>22</v>
      </c>
      <c r="I68" t="s">
        <v>75</v>
      </c>
      <c r="J68" t="s">
        <v>1566</v>
      </c>
      <c r="K68" t="s">
        <v>1900</v>
      </c>
      <c r="L68" t="s">
        <v>1889</v>
      </c>
      <c r="M68" t="s">
        <v>63</v>
      </c>
      <c r="N68">
        <f>Main5[[#This Row],[Quantity]]*Main5[[#This Row],[Unit Price]]</f>
        <v>2092.6499999999996</v>
      </c>
      <c r="O68">
        <f>Main5[[#This Row],[Unit Price]]-Main5[[#This Row],[Unit Price]]*0.2</f>
        <v>334.82399999999996</v>
      </c>
      <c r="P68">
        <f>Main5[[#This Row],[Total Price]]-Main5[[#This Row],[Cost Price]]</f>
        <v>1757.8259999999996</v>
      </c>
      <c r="Q68" t="str">
        <f>TEXT(Main5[[#This Row],[Date]],"mmm")</f>
        <v>Feb</v>
      </c>
    </row>
    <row r="69" spans="1:17" x14ac:dyDescent="0.25">
      <c r="A69" t="s">
        <v>524</v>
      </c>
      <c r="B69" t="s">
        <v>2139</v>
      </c>
      <c r="C69" t="s">
        <v>525</v>
      </c>
      <c r="D69" t="s">
        <v>35</v>
      </c>
      <c r="E69" t="s">
        <v>1885</v>
      </c>
      <c r="F69" t="s">
        <v>2140</v>
      </c>
      <c r="G69" t="s">
        <v>526</v>
      </c>
      <c r="H69" t="s">
        <v>52</v>
      </c>
      <c r="I69" t="s">
        <v>23</v>
      </c>
      <c r="J69" t="s">
        <v>527</v>
      </c>
      <c r="K69" t="s">
        <v>1885</v>
      </c>
      <c r="L69" t="s">
        <v>1911</v>
      </c>
      <c r="M69" t="s">
        <v>10</v>
      </c>
      <c r="N69">
        <f>Main5[[#This Row],[Quantity]]*Main5[[#This Row],[Unit Price]]</f>
        <v>2052.42</v>
      </c>
      <c r="O69">
        <f>Main5[[#This Row],[Unit Price]]-Main5[[#This Row],[Unit Price]]*0.2</f>
        <v>547.31200000000001</v>
      </c>
      <c r="P69">
        <f>Main5[[#This Row],[Total Price]]-Main5[[#This Row],[Cost Price]]</f>
        <v>1505.1080000000002</v>
      </c>
      <c r="Q69" t="str">
        <f>TEXT(Main5[[#This Row],[Date]],"mmm")</f>
        <v>Nov</v>
      </c>
    </row>
    <row r="70" spans="1:17" x14ac:dyDescent="0.25">
      <c r="A70" t="s">
        <v>913</v>
      </c>
      <c r="B70" t="s">
        <v>2330</v>
      </c>
      <c r="C70" t="s">
        <v>914</v>
      </c>
      <c r="D70" t="s">
        <v>45</v>
      </c>
      <c r="E70" t="s">
        <v>1894</v>
      </c>
      <c r="F70" t="s">
        <v>2331</v>
      </c>
      <c r="G70" t="s">
        <v>915</v>
      </c>
      <c r="H70" t="s">
        <v>7</v>
      </c>
      <c r="I70" t="s">
        <v>30</v>
      </c>
      <c r="J70" t="s">
        <v>916</v>
      </c>
      <c r="K70" t="s">
        <v>1888</v>
      </c>
      <c r="L70" t="s">
        <v>1911</v>
      </c>
      <c r="M70" t="s">
        <v>63</v>
      </c>
      <c r="N70">
        <f>Main5[[#This Row],[Quantity]]*Main5[[#This Row],[Unit Price]]</f>
        <v>2051</v>
      </c>
      <c r="O70">
        <f>Main5[[#This Row],[Unit Price]]-Main5[[#This Row],[Unit Price]]*0.2</f>
        <v>410.2</v>
      </c>
      <c r="P70">
        <f>Main5[[#This Row],[Total Price]]-Main5[[#This Row],[Cost Price]]</f>
        <v>1640.8</v>
      </c>
      <c r="Q70" t="str">
        <f>TEXT(Main5[[#This Row],[Date]],"mmm")</f>
        <v>Mar</v>
      </c>
    </row>
    <row r="71" spans="1:17" x14ac:dyDescent="0.25">
      <c r="A71" t="s">
        <v>626</v>
      </c>
      <c r="B71" t="s">
        <v>2189</v>
      </c>
      <c r="C71" t="s">
        <v>627</v>
      </c>
      <c r="D71" t="s">
        <v>28</v>
      </c>
      <c r="E71" t="s">
        <v>1894</v>
      </c>
      <c r="F71" t="s">
        <v>2190</v>
      </c>
      <c r="G71" t="s">
        <v>628</v>
      </c>
      <c r="H71" t="s">
        <v>15</v>
      </c>
      <c r="I71" t="s">
        <v>37</v>
      </c>
      <c r="J71" t="s">
        <v>629</v>
      </c>
      <c r="K71" t="s">
        <v>1878</v>
      </c>
      <c r="L71" t="s">
        <v>1881</v>
      </c>
      <c r="M71" t="s">
        <v>63</v>
      </c>
      <c r="N71">
        <f>Main5[[#This Row],[Quantity]]*Main5[[#This Row],[Unit Price]]</f>
        <v>2048.2399999999998</v>
      </c>
      <c r="O71">
        <f>Main5[[#This Row],[Unit Price]]-Main5[[#This Row],[Unit Price]]*0.2</f>
        <v>409.64799999999997</v>
      </c>
      <c r="P71">
        <f>Main5[[#This Row],[Total Price]]-Main5[[#This Row],[Cost Price]]</f>
        <v>1638.5919999999999</v>
      </c>
      <c r="Q71" t="str">
        <f>TEXT(Main5[[#This Row],[Date]],"mmm")</f>
        <v>Apr</v>
      </c>
    </row>
    <row r="72" spans="1:17" x14ac:dyDescent="0.25">
      <c r="A72" t="s">
        <v>943</v>
      </c>
      <c r="B72" t="s">
        <v>2344</v>
      </c>
      <c r="C72" t="s">
        <v>944</v>
      </c>
      <c r="D72" t="s">
        <v>5</v>
      </c>
      <c r="E72" t="s">
        <v>1878</v>
      </c>
      <c r="F72" t="s">
        <v>2345</v>
      </c>
      <c r="G72" t="s">
        <v>945</v>
      </c>
      <c r="H72" t="s">
        <v>47</v>
      </c>
      <c r="I72" t="s">
        <v>37</v>
      </c>
      <c r="J72" t="s">
        <v>946</v>
      </c>
      <c r="K72" t="s">
        <v>1954</v>
      </c>
      <c r="L72" t="s">
        <v>1889</v>
      </c>
      <c r="M72" t="s">
        <v>10</v>
      </c>
      <c r="N72">
        <f>Main5[[#This Row],[Quantity]]*Main5[[#This Row],[Unit Price]]</f>
        <v>2043.65</v>
      </c>
      <c r="O72">
        <f>Main5[[#This Row],[Unit Price]]-Main5[[#This Row],[Unit Price]]*0.2</f>
        <v>326.98400000000004</v>
      </c>
      <c r="P72">
        <f>Main5[[#This Row],[Total Price]]-Main5[[#This Row],[Cost Price]]</f>
        <v>1716.6660000000002</v>
      </c>
      <c r="Q72" t="str">
        <f>TEXT(Main5[[#This Row],[Date]],"mmm")</f>
        <v>Oct</v>
      </c>
    </row>
    <row r="73" spans="1:17" x14ac:dyDescent="0.25">
      <c r="A73" t="s">
        <v>58</v>
      </c>
      <c r="B73" t="s">
        <v>1907</v>
      </c>
      <c r="C73" t="s">
        <v>59</v>
      </c>
      <c r="D73" t="s">
        <v>60</v>
      </c>
      <c r="E73" t="s">
        <v>1894</v>
      </c>
      <c r="F73" t="s">
        <v>1908</v>
      </c>
      <c r="G73" t="s">
        <v>61</v>
      </c>
      <c r="H73" t="s">
        <v>22</v>
      </c>
      <c r="I73" t="s">
        <v>8</v>
      </c>
      <c r="J73" t="s">
        <v>62</v>
      </c>
      <c r="K73" t="s">
        <v>1900</v>
      </c>
      <c r="L73" t="s">
        <v>1881</v>
      </c>
      <c r="M73" t="s">
        <v>63</v>
      </c>
      <c r="N73">
        <f>Main5[[#This Row],[Quantity]]*Main5[[#This Row],[Unit Price]]</f>
        <v>2037.52</v>
      </c>
      <c r="O73">
        <f>Main5[[#This Row],[Unit Price]]-Main5[[#This Row],[Unit Price]]*0.2</f>
        <v>407.50400000000002</v>
      </c>
      <c r="P73">
        <f>Main5[[#This Row],[Total Price]]-Main5[[#This Row],[Cost Price]]</f>
        <v>1630.0160000000001</v>
      </c>
      <c r="Q73" t="str">
        <f>TEXT(Main5[[#This Row],[Date]],"mmm")</f>
        <v>Nov</v>
      </c>
    </row>
    <row r="74" spans="1:17" x14ac:dyDescent="0.25">
      <c r="A74" t="s">
        <v>1802</v>
      </c>
      <c r="B74" t="s">
        <v>2775</v>
      </c>
      <c r="C74" t="s">
        <v>1803</v>
      </c>
      <c r="D74" t="s">
        <v>45</v>
      </c>
      <c r="E74" t="s">
        <v>1894</v>
      </c>
      <c r="F74" t="s">
        <v>2776</v>
      </c>
      <c r="G74" t="s">
        <v>1804</v>
      </c>
      <c r="H74" t="s">
        <v>52</v>
      </c>
      <c r="I74" t="s">
        <v>23</v>
      </c>
      <c r="J74" t="s">
        <v>1805</v>
      </c>
      <c r="K74" t="s">
        <v>1878</v>
      </c>
      <c r="L74" t="s">
        <v>1906</v>
      </c>
      <c r="M74" t="s">
        <v>17</v>
      </c>
      <c r="N74">
        <f>Main5[[#This Row],[Quantity]]*Main5[[#This Row],[Unit Price]]</f>
        <v>2024.44</v>
      </c>
      <c r="O74">
        <f>Main5[[#This Row],[Unit Price]]-Main5[[#This Row],[Unit Price]]*0.2</f>
        <v>404.88800000000003</v>
      </c>
      <c r="P74">
        <f>Main5[[#This Row],[Total Price]]-Main5[[#This Row],[Cost Price]]</f>
        <v>1619.5520000000001</v>
      </c>
      <c r="Q74" t="str">
        <f>TEXT(Main5[[#This Row],[Date]],"mmm")</f>
        <v>Nov</v>
      </c>
    </row>
    <row r="75" spans="1:17" x14ac:dyDescent="0.25">
      <c r="A75" t="s">
        <v>638</v>
      </c>
      <c r="B75" t="s">
        <v>2195</v>
      </c>
      <c r="C75" t="s">
        <v>639</v>
      </c>
      <c r="D75" t="s">
        <v>35</v>
      </c>
      <c r="E75" t="s">
        <v>1878</v>
      </c>
      <c r="F75" t="s">
        <v>2196</v>
      </c>
      <c r="G75" t="s">
        <v>640</v>
      </c>
      <c r="H75" t="s">
        <v>15</v>
      </c>
      <c r="I75" t="s">
        <v>8</v>
      </c>
      <c r="J75" t="s">
        <v>641</v>
      </c>
      <c r="K75" t="s">
        <v>1954</v>
      </c>
      <c r="L75" t="s">
        <v>1906</v>
      </c>
      <c r="M75" t="s">
        <v>17</v>
      </c>
      <c r="N75">
        <f>Main5[[#This Row],[Quantity]]*Main5[[#This Row],[Unit Price]]</f>
        <v>2021.9499999999998</v>
      </c>
      <c r="O75">
        <f>Main5[[#This Row],[Unit Price]]-Main5[[#This Row],[Unit Price]]*0.2</f>
        <v>323.512</v>
      </c>
      <c r="P75">
        <f>Main5[[#This Row],[Total Price]]-Main5[[#This Row],[Cost Price]]</f>
        <v>1698.4379999999999</v>
      </c>
      <c r="Q75" t="str">
        <f>TEXT(Main5[[#This Row],[Date]],"mmm")</f>
        <v>Aug</v>
      </c>
    </row>
    <row r="76" spans="1:17" x14ac:dyDescent="0.25">
      <c r="A76" t="s">
        <v>1722</v>
      </c>
      <c r="B76" t="s">
        <v>2733</v>
      </c>
      <c r="C76" t="s">
        <v>1723</v>
      </c>
      <c r="D76" t="s">
        <v>45</v>
      </c>
      <c r="E76" t="s">
        <v>1894</v>
      </c>
      <c r="F76" t="s">
        <v>2734</v>
      </c>
      <c r="G76" t="s">
        <v>1724</v>
      </c>
      <c r="H76" t="s">
        <v>7</v>
      </c>
      <c r="I76" t="s">
        <v>8</v>
      </c>
      <c r="J76" t="s">
        <v>1725</v>
      </c>
      <c r="K76" t="s">
        <v>1894</v>
      </c>
      <c r="L76" t="s">
        <v>1911</v>
      </c>
      <c r="M76" t="s">
        <v>17</v>
      </c>
      <c r="N76">
        <f>Main5[[#This Row],[Quantity]]*Main5[[#This Row],[Unit Price]]</f>
        <v>2011.96</v>
      </c>
      <c r="O76">
        <f>Main5[[#This Row],[Unit Price]]-Main5[[#This Row],[Unit Price]]*0.2</f>
        <v>402.392</v>
      </c>
      <c r="P76">
        <f>Main5[[#This Row],[Total Price]]-Main5[[#This Row],[Cost Price]]</f>
        <v>1609.568</v>
      </c>
      <c r="Q76" t="str">
        <f>TEXT(Main5[[#This Row],[Date]],"mmm")</f>
        <v>Feb</v>
      </c>
    </row>
    <row r="77" spans="1:17" x14ac:dyDescent="0.25">
      <c r="A77" t="s">
        <v>383</v>
      </c>
      <c r="B77" t="s">
        <v>2069</v>
      </c>
      <c r="C77" t="s">
        <v>384</v>
      </c>
      <c r="D77" t="s">
        <v>13</v>
      </c>
      <c r="E77" t="s">
        <v>1885</v>
      </c>
      <c r="F77" t="s">
        <v>2070</v>
      </c>
      <c r="G77" t="s">
        <v>385</v>
      </c>
      <c r="H77" t="s">
        <v>15</v>
      </c>
      <c r="I77" t="s">
        <v>37</v>
      </c>
      <c r="J77" t="s">
        <v>386</v>
      </c>
      <c r="K77" t="s">
        <v>1900</v>
      </c>
      <c r="L77" t="s">
        <v>1906</v>
      </c>
      <c r="M77" t="s">
        <v>32</v>
      </c>
      <c r="N77">
        <f>Main5[[#This Row],[Quantity]]*Main5[[#This Row],[Unit Price]]</f>
        <v>1994.37</v>
      </c>
      <c r="O77">
        <f>Main5[[#This Row],[Unit Price]]-Main5[[#This Row],[Unit Price]]*0.2</f>
        <v>531.83199999999999</v>
      </c>
      <c r="P77">
        <f>Main5[[#This Row],[Total Price]]-Main5[[#This Row],[Cost Price]]</f>
        <v>1462.538</v>
      </c>
      <c r="Q77" t="str">
        <f>TEXT(Main5[[#This Row],[Date]],"mmm")</f>
        <v>Feb</v>
      </c>
    </row>
    <row r="78" spans="1:17" x14ac:dyDescent="0.25">
      <c r="A78" t="s">
        <v>1586</v>
      </c>
      <c r="B78" t="s">
        <v>2663</v>
      </c>
      <c r="C78" t="s">
        <v>1587</v>
      </c>
      <c r="D78" t="s">
        <v>60</v>
      </c>
      <c r="E78" t="s">
        <v>1885</v>
      </c>
      <c r="F78" t="s">
        <v>2664</v>
      </c>
      <c r="G78" t="s">
        <v>1588</v>
      </c>
      <c r="H78" t="s">
        <v>15</v>
      </c>
      <c r="I78" t="s">
        <v>23</v>
      </c>
      <c r="J78" t="s">
        <v>1589</v>
      </c>
      <c r="K78" t="s">
        <v>1900</v>
      </c>
      <c r="L78" t="s">
        <v>1911</v>
      </c>
      <c r="M78" t="s">
        <v>17</v>
      </c>
      <c r="N78">
        <f>Main5[[#This Row],[Quantity]]*Main5[[#This Row],[Unit Price]]</f>
        <v>1985.67</v>
      </c>
      <c r="O78">
        <f>Main5[[#This Row],[Unit Price]]-Main5[[#This Row],[Unit Price]]*0.2</f>
        <v>529.51199999999994</v>
      </c>
      <c r="P78">
        <f>Main5[[#This Row],[Total Price]]-Main5[[#This Row],[Cost Price]]</f>
        <v>1456.1580000000001</v>
      </c>
      <c r="Q78" t="str">
        <f>TEXT(Main5[[#This Row],[Date]],"mmm")</f>
        <v>Feb</v>
      </c>
    </row>
    <row r="79" spans="1:17" x14ac:dyDescent="0.25">
      <c r="A79" t="s">
        <v>1719</v>
      </c>
      <c r="B79" t="s">
        <v>2731</v>
      </c>
      <c r="C79" t="s">
        <v>1720</v>
      </c>
      <c r="D79" t="s">
        <v>60</v>
      </c>
      <c r="E79" t="s">
        <v>1878</v>
      </c>
      <c r="F79" t="s">
        <v>2732</v>
      </c>
      <c r="G79" t="s">
        <v>447</v>
      </c>
      <c r="H79" t="s">
        <v>52</v>
      </c>
      <c r="I79" t="s">
        <v>23</v>
      </c>
      <c r="J79" t="s">
        <v>1721</v>
      </c>
      <c r="K79" t="s">
        <v>1903</v>
      </c>
      <c r="L79" t="s">
        <v>1881</v>
      </c>
      <c r="M79" t="s">
        <v>10</v>
      </c>
      <c r="N79">
        <f>Main5[[#This Row],[Quantity]]*Main5[[#This Row],[Unit Price]]</f>
        <v>1984.3000000000002</v>
      </c>
      <c r="O79">
        <f>Main5[[#This Row],[Unit Price]]-Main5[[#This Row],[Unit Price]]*0.2</f>
        <v>317.488</v>
      </c>
      <c r="P79">
        <f>Main5[[#This Row],[Total Price]]-Main5[[#This Row],[Cost Price]]</f>
        <v>1666.8120000000001</v>
      </c>
      <c r="Q79" t="str">
        <f>TEXT(Main5[[#This Row],[Date]],"mmm")</f>
        <v>Aug</v>
      </c>
    </row>
    <row r="80" spans="1:17" x14ac:dyDescent="0.25">
      <c r="A80" t="s">
        <v>1558</v>
      </c>
      <c r="B80" t="s">
        <v>2647</v>
      </c>
      <c r="C80" t="s">
        <v>1559</v>
      </c>
      <c r="D80" t="s">
        <v>20</v>
      </c>
      <c r="E80" t="s">
        <v>1894</v>
      </c>
      <c r="F80" t="s">
        <v>2648</v>
      </c>
      <c r="G80" t="s">
        <v>1477</v>
      </c>
      <c r="H80" t="s">
        <v>52</v>
      </c>
      <c r="I80" t="s">
        <v>30</v>
      </c>
      <c r="J80" t="s">
        <v>1560</v>
      </c>
      <c r="K80" t="s">
        <v>1888</v>
      </c>
      <c r="L80" t="s">
        <v>1881</v>
      </c>
      <c r="M80" t="s">
        <v>25</v>
      </c>
      <c r="N80">
        <f>Main5[[#This Row],[Quantity]]*Main5[[#This Row],[Unit Price]]</f>
        <v>1979.36</v>
      </c>
      <c r="O80">
        <f>Main5[[#This Row],[Unit Price]]-Main5[[#This Row],[Unit Price]]*0.2</f>
        <v>395.87199999999996</v>
      </c>
      <c r="P80">
        <f>Main5[[#This Row],[Total Price]]-Main5[[#This Row],[Cost Price]]</f>
        <v>1583.4879999999998</v>
      </c>
      <c r="Q80" t="str">
        <f>TEXT(Main5[[#This Row],[Date]],"mmm")</f>
        <v>Dec</v>
      </c>
    </row>
    <row r="81" spans="1:17" x14ac:dyDescent="0.25">
      <c r="A81" t="s">
        <v>1526</v>
      </c>
      <c r="B81" t="s">
        <v>2631</v>
      </c>
      <c r="C81" t="s">
        <v>1527</v>
      </c>
      <c r="D81" t="s">
        <v>35</v>
      </c>
      <c r="E81" t="s">
        <v>1885</v>
      </c>
      <c r="F81" t="s">
        <v>2632</v>
      </c>
      <c r="G81" t="s">
        <v>1528</v>
      </c>
      <c r="H81" t="s">
        <v>15</v>
      </c>
      <c r="I81" t="s">
        <v>37</v>
      </c>
      <c r="J81" t="s">
        <v>1529</v>
      </c>
      <c r="K81" t="s">
        <v>1880</v>
      </c>
      <c r="L81" t="s">
        <v>1889</v>
      </c>
      <c r="M81" t="s">
        <v>25</v>
      </c>
      <c r="N81">
        <f>Main5[[#This Row],[Quantity]]*Main5[[#This Row],[Unit Price]]</f>
        <v>1960.8899999999999</v>
      </c>
      <c r="O81">
        <f>Main5[[#This Row],[Unit Price]]-Main5[[#This Row],[Unit Price]]*0.2</f>
        <v>522.904</v>
      </c>
      <c r="P81">
        <f>Main5[[#This Row],[Total Price]]-Main5[[#This Row],[Cost Price]]</f>
        <v>1437.9859999999999</v>
      </c>
      <c r="Q81" t="str">
        <f>TEXT(Main5[[#This Row],[Date]],"mmm")</f>
        <v>Jul</v>
      </c>
    </row>
    <row r="82" spans="1:17" x14ac:dyDescent="0.25">
      <c r="A82" t="s">
        <v>1866</v>
      </c>
      <c r="B82" t="s">
        <v>2811</v>
      </c>
      <c r="C82" t="s">
        <v>1867</v>
      </c>
      <c r="D82" t="s">
        <v>20</v>
      </c>
      <c r="E82" t="s">
        <v>1878</v>
      </c>
      <c r="F82" t="s">
        <v>2812</v>
      </c>
      <c r="G82" t="s">
        <v>1868</v>
      </c>
      <c r="H82" t="s">
        <v>52</v>
      </c>
      <c r="I82" t="s">
        <v>23</v>
      </c>
      <c r="J82" t="s">
        <v>1869</v>
      </c>
      <c r="K82" t="s">
        <v>1880</v>
      </c>
      <c r="L82" t="s">
        <v>1906</v>
      </c>
      <c r="M82" t="s">
        <v>17</v>
      </c>
      <c r="N82">
        <f>Main5[[#This Row],[Quantity]]*Main5[[#This Row],[Unit Price]]</f>
        <v>1946.1000000000001</v>
      </c>
      <c r="O82">
        <f>Main5[[#This Row],[Unit Price]]-Main5[[#This Row],[Unit Price]]*0.2</f>
        <v>311.37600000000003</v>
      </c>
      <c r="P82">
        <f>Main5[[#This Row],[Total Price]]-Main5[[#This Row],[Cost Price]]</f>
        <v>1634.7240000000002</v>
      </c>
      <c r="Q82" t="str">
        <f>TEXT(Main5[[#This Row],[Date]],"mmm")</f>
        <v>Aug</v>
      </c>
    </row>
    <row r="83" spans="1:17" x14ac:dyDescent="0.25">
      <c r="A83" t="s">
        <v>1729</v>
      </c>
      <c r="B83" t="s">
        <v>2737</v>
      </c>
      <c r="C83" t="s">
        <v>1730</v>
      </c>
      <c r="D83" t="s">
        <v>45</v>
      </c>
      <c r="E83" t="s">
        <v>1878</v>
      </c>
      <c r="F83" t="s">
        <v>2738</v>
      </c>
      <c r="G83" t="s">
        <v>1731</v>
      </c>
      <c r="H83" t="s">
        <v>22</v>
      </c>
      <c r="I83" t="s">
        <v>30</v>
      </c>
      <c r="J83" t="s">
        <v>1732</v>
      </c>
      <c r="K83" t="s">
        <v>1880</v>
      </c>
      <c r="L83" t="s">
        <v>1889</v>
      </c>
      <c r="M83" t="s">
        <v>63</v>
      </c>
      <c r="N83">
        <f>Main5[[#This Row],[Quantity]]*Main5[[#This Row],[Unit Price]]</f>
        <v>1919.1</v>
      </c>
      <c r="O83">
        <f>Main5[[#This Row],[Unit Price]]-Main5[[#This Row],[Unit Price]]*0.2</f>
        <v>307.05599999999998</v>
      </c>
      <c r="P83">
        <f>Main5[[#This Row],[Total Price]]-Main5[[#This Row],[Cost Price]]</f>
        <v>1612.0439999999999</v>
      </c>
      <c r="Q83" t="str">
        <f>TEXT(Main5[[#This Row],[Date]],"mmm")</f>
        <v>Jan</v>
      </c>
    </row>
    <row r="84" spans="1:17" x14ac:dyDescent="0.25">
      <c r="A84" t="s">
        <v>1318</v>
      </c>
      <c r="B84" t="s">
        <v>2527</v>
      </c>
      <c r="C84" t="s">
        <v>1319</v>
      </c>
      <c r="D84" t="s">
        <v>5</v>
      </c>
      <c r="E84" t="s">
        <v>1885</v>
      </c>
      <c r="F84" t="s">
        <v>2528</v>
      </c>
      <c r="G84" t="s">
        <v>1320</v>
      </c>
      <c r="H84" t="s">
        <v>52</v>
      </c>
      <c r="I84" t="s">
        <v>30</v>
      </c>
      <c r="J84" t="s">
        <v>1321</v>
      </c>
      <c r="K84" t="s">
        <v>1878</v>
      </c>
      <c r="L84" t="s">
        <v>1906</v>
      </c>
      <c r="M84" t="s">
        <v>17</v>
      </c>
      <c r="N84">
        <f>Main5[[#This Row],[Quantity]]*Main5[[#This Row],[Unit Price]]</f>
        <v>1907.94</v>
      </c>
      <c r="O84">
        <f>Main5[[#This Row],[Unit Price]]-Main5[[#This Row],[Unit Price]]*0.2</f>
        <v>508.78399999999999</v>
      </c>
      <c r="P84">
        <f>Main5[[#This Row],[Total Price]]-Main5[[#This Row],[Cost Price]]</f>
        <v>1399.1559999999999</v>
      </c>
      <c r="Q84" t="str">
        <f>TEXT(Main5[[#This Row],[Date]],"mmm")</f>
        <v>Mar</v>
      </c>
    </row>
    <row r="85" spans="1:17" x14ac:dyDescent="0.25">
      <c r="A85" t="s">
        <v>233</v>
      </c>
      <c r="B85" t="s">
        <v>1995</v>
      </c>
      <c r="C85" t="s">
        <v>234</v>
      </c>
      <c r="D85" t="s">
        <v>13</v>
      </c>
      <c r="E85" t="s">
        <v>1894</v>
      </c>
      <c r="F85" t="s">
        <v>1996</v>
      </c>
      <c r="G85" t="s">
        <v>235</v>
      </c>
      <c r="H85" t="s">
        <v>47</v>
      </c>
      <c r="I85" t="s">
        <v>23</v>
      </c>
      <c r="J85" t="s">
        <v>236</v>
      </c>
      <c r="K85" t="s">
        <v>1900</v>
      </c>
      <c r="L85" t="s">
        <v>1881</v>
      </c>
      <c r="M85" t="s">
        <v>63</v>
      </c>
      <c r="N85">
        <f>Main5[[#This Row],[Quantity]]*Main5[[#This Row],[Unit Price]]</f>
        <v>1898.76</v>
      </c>
      <c r="O85">
        <f>Main5[[#This Row],[Unit Price]]-Main5[[#This Row],[Unit Price]]*0.2</f>
        <v>379.75200000000001</v>
      </c>
      <c r="P85">
        <f>Main5[[#This Row],[Total Price]]-Main5[[#This Row],[Cost Price]]</f>
        <v>1519.008</v>
      </c>
      <c r="Q85" t="str">
        <f>TEXT(Main5[[#This Row],[Date]],"mmm")</f>
        <v>Jan</v>
      </c>
    </row>
    <row r="86" spans="1:17" x14ac:dyDescent="0.25">
      <c r="A86" t="s">
        <v>1688</v>
      </c>
      <c r="B86" t="s">
        <v>2715</v>
      </c>
      <c r="C86" t="s">
        <v>1689</v>
      </c>
      <c r="D86" t="s">
        <v>13</v>
      </c>
      <c r="E86" t="s">
        <v>1894</v>
      </c>
      <c r="F86" t="s">
        <v>2716</v>
      </c>
      <c r="G86" t="s">
        <v>1690</v>
      </c>
      <c r="H86" t="s">
        <v>7</v>
      </c>
      <c r="I86" t="s">
        <v>37</v>
      </c>
      <c r="J86" t="s">
        <v>1691</v>
      </c>
      <c r="K86" t="s">
        <v>1894</v>
      </c>
      <c r="L86" t="s">
        <v>1889</v>
      </c>
      <c r="M86" t="s">
        <v>63</v>
      </c>
      <c r="N86">
        <f>Main5[[#This Row],[Quantity]]*Main5[[#This Row],[Unit Price]]</f>
        <v>1880.36</v>
      </c>
      <c r="O86">
        <f>Main5[[#This Row],[Unit Price]]-Main5[[#This Row],[Unit Price]]*0.2</f>
        <v>376.072</v>
      </c>
      <c r="P86">
        <f>Main5[[#This Row],[Total Price]]-Main5[[#This Row],[Cost Price]]</f>
        <v>1504.288</v>
      </c>
      <c r="Q86" t="str">
        <f>TEXT(Main5[[#This Row],[Date]],"mmm")</f>
        <v>Jun</v>
      </c>
    </row>
    <row r="87" spans="1:17" x14ac:dyDescent="0.25">
      <c r="A87" t="s">
        <v>439</v>
      </c>
      <c r="B87" t="s">
        <v>2097</v>
      </c>
      <c r="C87" t="s">
        <v>440</v>
      </c>
      <c r="D87" t="s">
        <v>13</v>
      </c>
      <c r="E87" t="s">
        <v>1878</v>
      </c>
      <c r="F87" t="s">
        <v>2098</v>
      </c>
      <c r="G87" t="s">
        <v>441</v>
      </c>
      <c r="H87" t="s">
        <v>15</v>
      </c>
      <c r="I87" t="s">
        <v>8</v>
      </c>
      <c r="J87" t="s">
        <v>442</v>
      </c>
      <c r="K87" t="s">
        <v>1903</v>
      </c>
      <c r="L87" t="s">
        <v>1881</v>
      </c>
      <c r="M87" t="s">
        <v>32</v>
      </c>
      <c r="N87">
        <f>Main5[[#This Row],[Quantity]]*Main5[[#This Row],[Unit Price]]</f>
        <v>1874.95</v>
      </c>
      <c r="O87">
        <f>Main5[[#This Row],[Unit Price]]-Main5[[#This Row],[Unit Price]]*0.2</f>
        <v>299.99200000000002</v>
      </c>
      <c r="P87">
        <f>Main5[[#This Row],[Total Price]]-Main5[[#This Row],[Cost Price]]</f>
        <v>1574.9580000000001</v>
      </c>
      <c r="Q87" t="str">
        <f>TEXT(Main5[[#This Row],[Date]],"mmm")</f>
        <v>Nov</v>
      </c>
    </row>
    <row r="88" spans="1:17" x14ac:dyDescent="0.25">
      <c r="A88" t="s">
        <v>1074</v>
      </c>
      <c r="B88" t="s">
        <v>2408</v>
      </c>
      <c r="C88" t="s">
        <v>1075</v>
      </c>
      <c r="D88" t="s">
        <v>35</v>
      </c>
      <c r="E88" t="s">
        <v>1878</v>
      </c>
      <c r="F88" t="s">
        <v>2409</v>
      </c>
      <c r="G88" t="s">
        <v>1076</v>
      </c>
      <c r="H88" t="s">
        <v>47</v>
      </c>
      <c r="I88" t="s">
        <v>23</v>
      </c>
      <c r="J88" t="s">
        <v>1077</v>
      </c>
      <c r="K88" t="s">
        <v>1954</v>
      </c>
      <c r="L88" t="s">
        <v>1889</v>
      </c>
      <c r="M88" t="s">
        <v>10</v>
      </c>
      <c r="N88">
        <f>Main5[[#This Row],[Quantity]]*Main5[[#This Row],[Unit Price]]</f>
        <v>1872.8999999999999</v>
      </c>
      <c r="O88">
        <f>Main5[[#This Row],[Unit Price]]-Main5[[#This Row],[Unit Price]]*0.2</f>
        <v>299.66399999999999</v>
      </c>
      <c r="P88">
        <f>Main5[[#This Row],[Total Price]]-Main5[[#This Row],[Cost Price]]</f>
        <v>1573.2359999999999</v>
      </c>
      <c r="Q88" t="str">
        <f>TEXT(Main5[[#This Row],[Date]],"mmm")</f>
        <v>May</v>
      </c>
    </row>
    <row r="89" spans="1:17" x14ac:dyDescent="0.25">
      <c r="A89" t="s">
        <v>1039</v>
      </c>
      <c r="B89" t="s">
        <v>2392</v>
      </c>
      <c r="C89" t="s">
        <v>1040</v>
      </c>
      <c r="D89" t="s">
        <v>20</v>
      </c>
      <c r="E89" t="s">
        <v>1885</v>
      </c>
      <c r="F89" t="s">
        <v>2393</v>
      </c>
      <c r="G89" t="s">
        <v>1041</v>
      </c>
      <c r="H89" t="s">
        <v>15</v>
      </c>
      <c r="I89" t="s">
        <v>23</v>
      </c>
      <c r="J89" t="s">
        <v>1042</v>
      </c>
      <c r="K89" t="s">
        <v>1885</v>
      </c>
      <c r="L89" t="s">
        <v>1881</v>
      </c>
      <c r="M89" t="s">
        <v>10</v>
      </c>
      <c r="N89">
        <f>Main5[[#This Row],[Quantity]]*Main5[[#This Row],[Unit Price]]</f>
        <v>1870.02</v>
      </c>
      <c r="O89">
        <f>Main5[[#This Row],[Unit Price]]-Main5[[#This Row],[Unit Price]]*0.2</f>
        <v>498.67200000000003</v>
      </c>
      <c r="P89">
        <f>Main5[[#This Row],[Total Price]]-Main5[[#This Row],[Cost Price]]</f>
        <v>1371.348</v>
      </c>
      <c r="Q89" t="str">
        <f>TEXT(Main5[[#This Row],[Date]],"mmm")</f>
        <v>Mar</v>
      </c>
    </row>
    <row r="90" spans="1:17" x14ac:dyDescent="0.25">
      <c r="A90" t="s">
        <v>683</v>
      </c>
      <c r="B90" t="s">
        <v>2217</v>
      </c>
      <c r="C90" t="s">
        <v>684</v>
      </c>
      <c r="D90" t="s">
        <v>28</v>
      </c>
      <c r="E90" t="s">
        <v>1885</v>
      </c>
      <c r="F90" t="s">
        <v>2218</v>
      </c>
      <c r="G90" t="s">
        <v>685</v>
      </c>
      <c r="H90" t="s">
        <v>7</v>
      </c>
      <c r="I90" t="s">
        <v>23</v>
      </c>
      <c r="J90" t="s">
        <v>686</v>
      </c>
      <c r="K90" t="s">
        <v>1900</v>
      </c>
      <c r="L90" t="s">
        <v>1906</v>
      </c>
      <c r="M90" t="s">
        <v>25</v>
      </c>
      <c r="N90">
        <f>Main5[[#This Row],[Quantity]]*Main5[[#This Row],[Unit Price]]</f>
        <v>1857.63</v>
      </c>
      <c r="O90">
        <f>Main5[[#This Row],[Unit Price]]-Main5[[#This Row],[Unit Price]]*0.2</f>
        <v>495.36800000000005</v>
      </c>
      <c r="P90">
        <f>Main5[[#This Row],[Total Price]]-Main5[[#This Row],[Cost Price]]</f>
        <v>1362.2620000000002</v>
      </c>
      <c r="Q90" t="str">
        <f>TEXT(Main5[[#This Row],[Date]],"mmm")</f>
        <v>Apr</v>
      </c>
    </row>
    <row r="91" spans="1:17" x14ac:dyDescent="0.25">
      <c r="A91" t="s">
        <v>1314</v>
      </c>
      <c r="B91" t="s">
        <v>2525</v>
      </c>
      <c r="C91" t="s">
        <v>1315</v>
      </c>
      <c r="D91" t="s">
        <v>45</v>
      </c>
      <c r="E91" t="s">
        <v>1894</v>
      </c>
      <c r="F91" t="s">
        <v>2526</v>
      </c>
      <c r="G91" t="s">
        <v>1316</v>
      </c>
      <c r="H91" t="s">
        <v>7</v>
      </c>
      <c r="I91" t="s">
        <v>30</v>
      </c>
      <c r="J91" t="s">
        <v>1317</v>
      </c>
      <c r="K91" t="s">
        <v>1878</v>
      </c>
      <c r="L91" t="s">
        <v>1881</v>
      </c>
      <c r="M91" t="s">
        <v>25</v>
      </c>
      <c r="N91">
        <f>Main5[[#This Row],[Quantity]]*Main5[[#This Row],[Unit Price]]</f>
        <v>1857.16</v>
      </c>
      <c r="O91">
        <f>Main5[[#This Row],[Unit Price]]-Main5[[#This Row],[Unit Price]]*0.2</f>
        <v>371.43200000000002</v>
      </c>
      <c r="P91">
        <f>Main5[[#This Row],[Total Price]]-Main5[[#This Row],[Cost Price]]</f>
        <v>1485.7280000000001</v>
      </c>
      <c r="Q91" t="str">
        <f>TEXT(Main5[[#This Row],[Date]],"mmm")</f>
        <v>May</v>
      </c>
    </row>
    <row r="92" spans="1:17" x14ac:dyDescent="0.25">
      <c r="A92" t="s">
        <v>1505</v>
      </c>
      <c r="B92" t="s">
        <v>2621</v>
      </c>
      <c r="C92" t="s">
        <v>1506</v>
      </c>
      <c r="D92" t="s">
        <v>45</v>
      </c>
      <c r="E92" t="s">
        <v>1885</v>
      </c>
      <c r="F92" t="s">
        <v>2622</v>
      </c>
      <c r="G92" t="s">
        <v>1507</v>
      </c>
      <c r="H92" t="s">
        <v>47</v>
      </c>
      <c r="I92" t="s">
        <v>23</v>
      </c>
      <c r="J92" t="s">
        <v>1508</v>
      </c>
      <c r="K92" t="s">
        <v>1885</v>
      </c>
      <c r="L92" t="s">
        <v>1906</v>
      </c>
      <c r="M92" t="s">
        <v>32</v>
      </c>
      <c r="N92">
        <f>Main5[[#This Row],[Quantity]]*Main5[[#This Row],[Unit Price]]</f>
        <v>1842.4499999999998</v>
      </c>
      <c r="O92">
        <f>Main5[[#This Row],[Unit Price]]-Main5[[#This Row],[Unit Price]]*0.2</f>
        <v>491.32</v>
      </c>
      <c r="P92">
        <f>Main5[[#This Row],[Total Price]]-Main5[[#This Row],[Cost Price]]</f>
        <v>1351.1299999999999</v>
      </c>
      <c r="Q92" t="str">
        <f>TEXT(Main5[[#This Row],[Date]],"mmm")</f>
        <v>Nov</v>
      </c>
    </row>
    <row r="93" spans="1:17" x14ac:dyDescent="0.25">
      <c r="A93" t="s">
        <v>181</v>
      </c>
      <c r="B93" t="s">
        <v>1969</v>
      </c>
      <c r="C93" t="s">
        <v>182</v>
      </c>
      <c r="D93" t="s">
        <v>5</v>
      </c>
      <c r="E93" t="s">
        <v>1885</v>
      </c>
      <c r="F93" t="s">
        <v>1970</v>
      </c>
      <c r="G93" t="s">
        <v>183</v>
      </c>
      <c r="H93" t="s">
        <v>47</v>
      </c>
      <c r="I93" t="s">
        <v>75</v>
      </c>
      <c r="J93" t="s">
        <v>184</v>
      </c>
      <c r="K93" t="s">
        <v>1894</v>
      </c>
      <c r="L93" t="s">
        <v>1889</v>
      </c>
      <c r="M93" t="s">
        <v>10</v>
      </c>
      <c r="N93">
        <f>Main5[[#This Row],[Quantity]]*Main5[[#This Row],[Unit Price]]</f>
        <v>1834.3500000000001</v>
      </c>
      <c r="O93">
        <f>Main5[[#This Row],[Unit Price]]-Main5[[#This Row],[Unit Price]]*0.2</f>
        <v>489.16</v>
      </c>
      <c r="P93">
        <f>Main5[[#This Row],[Total Price]]-Main5[[#This Row],[Cost Price]]</f>
        <v>1345.19</v>
      </c>
      <c r="Q93" t="str">
        <f>TEXT(Main5[[#This Row],[Date]],"mmm")</f>
        <v>Dec</v>
      </c>
    </row>
    <row r="94" spans="1:17" x14ac:dyDescent="0.25">
      <c r="A94" t="s">
        <v>1369</v>
      </c>
      <c r="B94" t="s">
        <v>2553</v>
      </c>
      <c r="C94" t="s">
        <v>1370</v>
      </c>
      <c r="D94" t="s">
        <v>60</v>
      </c>
      <c r="E94" t="s">
        <v>1878</v>
      </c>
      <c r="F94" t="s">
        <v>2554</v>
      </c>
      <c r="G94" t="s">
        <v>1371</v>
      </c>
      <c r="H94" t="s">
        <v>22</v>
      </c>
      <c r="I94" t="s">
        <v>23</v>
      </c>
      <c r="J94" t="s">
        <v>1372</v>
      </c>
      <c r="K94" t="s">
        <v>1878</v>
      </c>
      <c r="L94" t="s">
        <v>1911</v>
      </c>
      <c r="M94" t="s">
        <v>63</v>
      </c>
      <c r="N94">
        <f>Main5[[#This Row],[Quantity]]*Main5[[#This Row],[Unit Price]]</f>
        <v>1821.3999999999999</v>
      </c>
      <c r="O94">
        <f>Main5[[#This Row],[Unit Price]]-Main5[[#This Row],[Unit Price]]*0.2</f>
        <v>291.42399999999998</v>
      </c>
      <c r="P94">
        <f>Main5[[#This Row],[Total Price]]-Main5[[#This Row],[Cost Price]]</f>
        <v>1529.9759999999999</v>
      </c>
      <c r="Q94" t="str">
        <f>TEXT(Main5[[#This Row],[Date]],"mmm")</f>
        <v>Apr</v>
      </c>
    </row>
    <row r="95" spans="1:17" x14ac:dyDescent="0.25">
      <c r="A95" t="s">
        <v>891</v>
      </c>
      <c r="B95" t="s">
        <v>2320</v>
      </c>
      <c r="C95" t="s">
        <v>892</v>
      </c>
      <c r="D95" t="s">
        <v>45</v>
      </c>
      <c r="E95" t="s">
        <v>1878</v>
      </c>
      <c r="F95" t="s">
        <v>2321</v>
      </c>
      <c r="G95" t="s">
        <v>893</v>
      </c>
      <c r="H95" t="s">
        <v>52</v>
      </c>
      <c r="I95" t="s">
        <v>37</v>
      </c>
      <c r="J95" t="s">
        <v>894</v>
      </c>
      <c r="K95" t="s">
        <v>1900</v>
      </c>
      <c r="L95" t="s">
        <v>1889</v>
      </c>
      <c r="M95" t="s">
        <v>10</v>
      </c>
      <c r="N95">
        <f>Main5[[#This Row],[Quantity]]*Main5[[#This Row],[Unit Price]]</f>
        <v>1812.3</v>
      </c>
      <c r="O95">
        <f>Main5[[#This Row],[Unit Price]]-Main5[[#This Row],[Unit Price]]*0.2</f>
        <v>289.96799999999996</v>
      </c>
      <c r="P95">
        <f>Main5[[#This Row],[Total Price]]-Main5[[#This Row],[Cost Price]]</f>
        <v>1522.3319999999999</v>
      </c>
      <c r="Q95" t="str">
        <f>TEXT(Main5[[#This Row],[Date]],"mmm")</f>
        <v>Nov</v>
      </c>
    </row>
    <row r="96" spans="1:17" x14ac:dyDescent="0.25">
      <c r="A96" t="s">
        <v>1091</v>
      </c>
      <c r="B96" t="s">
        <v>2416</v>
      </c>
      <c r="C96" t="s">
        <v>1092</v>
      </c>
      <c r="D96" t="s">
        <v>35</v>
      </c>
      <c r="E96" t="s">
        <v>1885</v>
      </c>
      <c r="F96" t="s">
        <v>2417</v>
      </c>
      <c r="G96" t="s">
        <v>1093</v>
      </c>
      <c r="H96" t="s">
        <v>7</v>
      </c>
      <c r="I96" t="s">
        <v>75</v>
      </c>
      <c r="J96" t="s">
        <v>1094</v>
      </c>
      <c r="K96" t="s">
        <v>1888</v>
      </c>
      <c r="L96" t="s">
        <v>1906</v>
      </c>
      <c r="M96" t="s">
        <v>17</v>
      </c>
      <c r="N96">
        <f>Main5[[#This Row],[Quantity]]*Main5[[#This Row],[Unit Price]]</f>
        <v>1806.72</v>
      </c>
      <c r="O96">
        <f>Main5[[#This Row],[Unit Price]]-Main5[[#This Row],[Unit Price]]*0.2</f>
        <v>481.79200000000003</v>
      </c>
      <c r="P96">
        <f>Main5[[#This Row],[Total Price]]-Main5[[#This Row],[Cost Price]]</f>
        <v>1324.9279999999999</v>
      </c>
      <c r="Q96" t="str">
        <f>TEXT(Main5[[#This Row],[Date]],"mmm")</f>
        <v>Feb</v>
      </c>
    </row>
    <row r="97" spans="1:17" x14ac:dyDescent="0.25">
      <c r="A97" t="s">
        <v>1414</v>
      </c>
      <c r="B97" t="s">
        <v>2575</v>
      </c>
      <c r="C97" t="s">
        <v>1415</v>
      </c>
      <c r="D97" t="s">
        <v>20</v>
      </c>
      <c r="E97" t="s">
        <v>1885</v>
      </c>
      <c r="F97" t="s">
        <v>2576</v>
      </c>
      <c r="G97" t="s">
        <v>1416</v>
      </c>
      <c r="H97" t="s">
        <v>22</v>
      </c>
      <c r="I97" t="s">
        <v>23</v>
      </c>
      <c r="J97" t="s">
        <v>1417</v>
      </c>
      <c r="K97" t="s">
        <v>1880</v>
      </c>
      <c r="L97" t="s">
        <v>1881</v>
      </c>
      <c r="M97" t="s">
        <v>32</v>
      </c>
      <c r="N97">
        <f>Main5[[#This Row],[Quantity]]*Main5[[#This Row],[Unit Price]]</f>
        <v>1804.8000000000002</v>
      </c>
      <c r="O97">
        <f>Main5[[#This Row],[Unit Price]]-Main5[[#This Row],[Unit Price]]*0.2</f>
        <v>481.28000000000003</v>
      </c>
      <c r="P97">
        <f>Main5[[#This Row],[Total Price]]-Main5[[#This Row],[Cost Price]]</f>
        <v>1323.5200000000002</v>
      </c>
      <c r="Q97" t="str">
        <f>TEXT(Main5[[#This Row],[Date]],"mmm")</f>
        <v>Oct</v>
      </c>
    </row>
    <row r="98" spans="1:17" x14ac:dyDescent="0.25">
      <c r="A98" t="s">
        <v>496</v>
      </c>
      <c r="B98" t="s">
        <v>2125</v>
      </c>
      <c r="C98" t="s">
        <v>497</v>
      </c>
      <c r="D98" t="s">
        <v>20</v>
      </c>
      <c r="E98" t="s">
        <v>1894</v>
      </c>
      <c r="F98" t="s">
        <v>2126</v>
      </c>
      <c r="G98" t="s">
        <v>498</v>
      </c>
      <c r="H98" t="s">
        <v>22</v>
      </c>
      <c r="I98" t="s">
        <v>8</v>
      </c>
      <c r="J98" t="s">
        <v>499</v>
      </c>
      <c r="K98" t="s">
        <v>1900</v>
      </c>
      <c r="L98" t="s">
        <v>1911</v>
      </c>
      <c r="M98" t="s">
        <v>25</v>
      </c>
      <c r="N98">
        <f>Main5[[#This Row],[Quantity]]*Main5[[#This Row],[Unit Price]]</f>
        <v>1803</v>
      </c>
      <c r="O98">
        <f>Main5[[#This Row],[Unit Price]]-Main5[[#This Row],[Unit Price]]*0.2</f>
        <v>360.6</v>
      </c>
      <c r="P98">
        <f>Main5[[#This Row],[Total Price]]-Main5[[#This Row],[Cost Price]]</f>
        <v>1442.4</v>
      </c>
      <c r="Q98" t="str">
        <f>TEXT(Main5[[#This Row],[Date]],"mmm")</f>
        <v>Mar</v>
      </c>
    </row>
    <row r="99" spans="1:17" x14ac:dyDescent="0.25">
      <c r="A99" t="s">
        <v>415</v>
      </c>
      <c r="B99" t="s">
        <v>2085</v>
      </c>
      <c r="C99" t="s">
        <v>416</v>
      </c>
      <c r="D99" t="s">
        <v>60</v>
      </c>
      <c r="E99" t="s">
        <v>1885</v>
      </c>
      <c r="F99" t="s">
        <v>2086</v>
      </c>
      <c r="G99" t="s">
        <v>417</v>
      </c>
      <c r="H99" t="s">
        <v>47</v>
      </c>
      <c r="I99" t="s">
        <v>8</v>
      </c>
      <c r="J99" t="s">
        <v>418</v>
      </c>
      <c r="K99" t="s">
        <v>1885</v>
      </c>
      <c r="L99" t="s">
        <v>1889</v>
      </c>
      <c r="M99" t="s">
        <v>17</v>
      </c>
      <c r="N99">
        <f>Main5[[#This Row],[Quantity]]*Main5[[#This Row],[Unit Price]]</f>
        <v>1778.6100000000001</v>
      </c>
      <c r="O99">
        <f>Main5[[#This Row],[Unit Price]]-Main5[[#This Row],[Unit Price]]*0.2</f>
        <v>474.29599999999999</v>
      </c>
      <c r="P99">
        <f>Main5[[#This Row],[Total Price]]-Main5[[#This Row],[Cost Price]]</f>
        <v>1304.3140000000001</v>
      </c>
      <c r="Q99" t="str">
        <f>TEXT(Main5[[#This Row],[Date]],"mmm")</f>
        <v>Sep</v>
      </c>
    </row>
    <row r="100" spans="1:17" x14ac:dyDescent="0.25">
      <c r="A100" t="s">
        <v>769</v>
      </c>
      <c r="B100" t="s">
        <v>2260</v>
      </c>
      <c r="C100" t="s">
        <v>770</v>
      </c>
      <c r="D100" t="s">
        <v>35</v>
      </c>
      <c r="E100" t="s">
        <v>1894</v>
      </c>
      <c r="F100" t="s">
        <v>2261</v>
      </c>
      <c r="G100" t="s">
        <v>771</v>
      </c>
      <c r="H100" t="s">
        <v>7</v>
      </c>
      <c r="I100" t="s">
        <v>23</v>
      </c>
      <c r="J100" t="s">
        <v>772</v>
      </c>
      <c r="K100" t="s">
        <v>1888</v>
      </c>
      <c r="L100" t="s">
        <v>1911</v>
      </c>
      <c r="M100" t="s">
        <v>63</v>
      </c>
      <c r="N100">
        <f>Main5[[#This Row],[Quantity]]*Main5[[#This Row],[Unit Price]]</f>
        <v>1777.76</v>
      </c>
      <c r="O100">
        <f>Main5[[#This Row],[Unit Price]]-Main5[[#This Row],[Unit Price]]*0.2</f>
        <v>355.55200000000002</v>
      </c>
      <c r="P100">
        <f>Main5[[#This Row],[Total Price]]-Main5[[#This Row],[Cost Price]]</f>
        <v>1422.2080000000001</v>
      </c>
      <c r="Q100" t="str">
        <f>TEXT(Main5[[#This Row],[Date]],"mmm")</f>
        <v>May</v>
      </c>
    </row>
    <row r="101" spans="1:17" x14ac:dyDescent="0.25">
      <c r="A101" t="s">
        <v>313</v>
      </c>
      <c r="B101" t="s">
        <v>2035</v>
      </c>
      <c r="C101" t="s">
        <v>314</v>
      </c>
      <c r="D101" t="s">
        <v>13</v>
      </c>
      <c r="E101" t="s">
        <v>1885</v>
      </c>
      <c r="F101" t="s">
        <v>2036</v>
      </c>
      <c r="G101" t="s">
        <v>315</v>
      </c>
      <c r="H101" t="s">
        <v>15</v>
      </c>
      <c r="I101" t="s">
        <v>30</v>
      </c>
      <c r="J101" t="s">
        <v>316</v>
      </c>
      <c r="K101" t="s">
        <v>1900</v>
      </c>
      <c r="L101" t="s">
        <v>1906</v>
      </c>
      <c r="M101" t="s">
        <v>32</v>
      </c>
      <c r="N101">
        <f>Main5[[#This Row],[Quantity]]*Main5[[#This Row],[Unit Price]]</f>
        <v>1768.6799999999998</v>
      </c>
      <c r="O101">
        <f>Main5[[#This Row],[Unit Price]]-Main5[[#This Row],[Unit Price]]*0.2</f>
        <v>471.64799999999997</v>
      </c>
      <c r="P101">
        <f>Main5[[#This Row],[Total Price]]-Main5[[#This Row],[Cost Price]]</f>
        <v>1297.0319999999999</v>
      </c>
      <c r="Q101" t="str">
        <f>TEXT(Main5[[#This Row],[Date]],"mmm")</f>
        <v>Jun</v>
      </c>
    </row>
    <row r="102" spans="1:17" x14ac:dyDescent="0.25">
      <c r="A102" t="s">
        <v>749</v>
      </c>
      <c r="B102" t="s">
        <v>2250</v>
      </c>
      <c r="C102" t="s">
        <v>750</v>
      </c>
      <c r="D102" t="s">
        <v>60</v>
      </c>
      <c r="E102" t="s">
        <v>1885</v>
      </c>
      <c r="F102" t="s">
        <v>2251</v>
      </c>
      <c r="G102" t="s">
        <v>751</v>
      </c>
      <c r="H102" t="s">
        <v>47</v>
      </c>
      <c r="I102" t="s">
        <v>37</v>
      </c>
      <c r="J102" t="s">
        <v>752</v>
      </c>
      <c r="K102" t="s">
        <v>1888</v>
      </c>
      <c r="L102" t="s">
        <v>1906</v>
      </c>
      <c r="M102" t="s">
        <v>10</v>
      </c>
      <c r="N102">
        <f>Main5[[#This Row],[Quantity]]*Main5[[#This Row],[Unit Price]]</f>
        <v>1764.1499999999999</v>
      </c>
      <c r="O102">
        <f>Main5[[#This Row],[Unit Price]]-Main5[[#This Row],[Unit Price]]*0.2</f>
        <v>470.43999999999994</v>
      </c>
      <c r="P102">
        <f>Main5[[#This Row],[Total Price]]-Main5[[#This Row],[Cost Price]]</f>
        <v>1293.71</v>
      </c>
      <c r="Q102" t="str">
        <f>TEXT(Main5[[#This Row],[Date]],"mmm")</f>
        <v>Jun</v>
      </c>
    </row>
    <row r="103" spans="1:17" x14ac:dyDescent="0.25">
      <c r="A103" t="s">
        <v>777</v>
      </c>
      <c r="B103" t="s">
        <v>2264</v>
      </c>
      <c r="C103" t="s">
        <v>778</v>
      </c>
      <c r="D103" t="s">
        <v>5</v>
      </c>
      <c r="E103" t="s">
        <v>1885</v>
      </c>
      <c r="F103" t="s">
        <v>2265</v>
      </c>
      <c r="G103" t="s">
        <v>779</v>
      </c>
      <c r="H103" t="s">
        <v>22</v>
      </c>
      <c r="I103" t="s">
        <v>8</v>
      </c>
      <c r="J103" t="s">
        <v>780</v>
      </c>
      <c r="K103" t="s">
        <v>1878</v>
      </c>
      <c r="L103" t="s">
        <v>1889</v>
      </c>
      <c r="M103" t="s">
        <v>32</v>
      </c>
      <c r="N103">
        <f>Main5[[#This Row],[Quantity]]*Main5[[#This Row],[Unit Price]]</f>
        <v>1751.16</v>
      </c>
      <c r="O103">
        <f>Main5[[#This Row],[Unit Price]]-Main5[[#This Row],[Unit Price]]*0.2</f>
        <v>466.976</v>
      </c>
      <c r="P103">
        <f>Main5[[#This Row],[Total Price]]-Main5[[#This Row],[Cost Price]]</f>
        <v>1284.1840000000002</v>
      </c>
      <c r="Q103" t="str">
        <f>TEXT(Main5[[#This Row],[Date]],"mmm")</f>
        <v>Mar</v>
      </c>
    </row>
    <row r="104" spans="1:17" x14ac:dyDescent="0.25">
      <c r="A104" t="s">
        <v>1271</v>
      </c>
      <c r="B104" t="s">
        <v>2503</v>
      </c>
      <c r="C104" t="s">
        <v>1272</v>
      </c>
      <c r="D104" t="s">
        <v>13</v>
      </c>
      <c r="E104" t="s">
        <v>1878</v>
      </c>
      <c r="F104" t="s">
        <v>2504</v>
      </c>
      <c r="G104" t="s">
        <v>1273</v>
      </c>
      <c r="H104" t="s">
        <v>52</v>
      </c>
      <c r="I104" t="s">
        <v>75</v>
      </c>
      <c r="J104" t="s">
        <v>1274</v>
      </c>
      <c r="K104" t="s">
        <v>1900</v>
      </c>
      <c r="L104" t="s">
        <v>1911</v>
      </c>
      <c r="M104" t="s">
        <v>63</v>
      </c>
      <c r="N104">
        <f>Main5[[#This Row],[Quantity]]*Main5[[#This Row],[Unit Price]]</f>
        <v>1739.6000000000001</v>
      </c>
      <c r="O104">
        <f>Main5[[#This Row],[Unit Price]]-Main5[[#This Row],[Unit Price]]*0.2</f>
        <v>278.33600000000001</v>
      </c>
      <c r="P104">
        <f>Main5[[#This Row],[Total Price]]-Main5[[#This Row],[Cost Price]]</f>
        <v>1461.2640000000001</v>
      </c>
      <c r="Q104" t="str">
        <f>TEXT(Main5[[#This Row],[Date]],"mmm")</f>
        <v>Jan</v>
      </c>
    </row>
    <row r="105" spans="1:17" x14ac:dyDescent="0.25">
      <c r="A105" t="s">
        <v>850</v>
      </c>
      <c r="B105" t="s">
        <v>2300</v>
      </c>
      <c r="C105" t="s">
        <v>851</v>
      </c>
      <c r="D105" t="s">
        <v>13</v>
      </c>
      <c r="E105" t="s">
        <v>1894</v>
      </c>
      <c r="F105" t="s">
        <v>2301</v>
      </c>
      <c r="G105" t="s">
        <v>852</v>
      </c>
      <c r="H105" t="s">
        <v>22</v>
      </c>
      <c r="I105" t="s">
        <v>75</v>
      </c>
      <c r="J105" t="s">
        <v>853</v>
      </c>
      <c r="K105" t="s">
        <v>1894</v>
      </c>
      <c r="L105" t="s">
        <v>1911</v>
      </c>
      <c r="M105" t="s">
        <v>63</v>
      </c>
      <c r="N105">
        <f>Main5[[#This Row],[Quantity]]*Main5[[#This Row],[Unit Price]]</f>
        <v>1739.4</v>
      </c>
      <c r="O105">
        <f>Main5[[#This Row],[Unit Price]]-Main5[[#This Row],[Unit Price]]*0.2</f>
        <v>347.88</v>
      </c>
      <c r="P105">
        <f>Main5[[#This Row],[Total Price]]-Main5[[#This Row],[Cost Price]]</f>
        <v>1391.52</v>
      </c>
      <c r="Q105" t="str">
        <f>TEXT(Main5[[#This Row],[Date]],"mmm")</f>
        <v>Mar</v>
      </c>
    </row>
    <row r="106" spans="1:17" x14ac:dyDescent="0.25">
      <c r="A106" t="s">
        <v>1239</v>
      </c>
      <c r="B106" t="s">
        <v>2487</v>
      </c>
      <c r="C106" t="s">
        <v>1240</v>
      </c>
      <c r="D106" t="s">
        <v>20</v>
      </c>
      <c r="E106" t="s">
        <v>1894</v>
      </c>
      <c r="F106" t="s">
        <v>2488</v>
      </c>
      <c r="G106" t="s">
        <v>1241</v>
      </c>
      <c r="H106" t="s">
        <v>15</v>
      </c>
      <c r="I106" t="s">
        <v>23</v>
      </c>
      <c r="J106" t="s">
        <v>1242</v>
      </c>
      <c r="K106" t="s">
        <v>1900</v>
      </c>
      <c r="L106" t="s">
        <v>1889</v>
      </c>
      <c r="M106" t="s">
        <v>63</v>
      </c>
      <c r="N106">
        <f>Main5[[#This Row],[Quantity]]*Main5[[#This Row],[Unit Price]]</f>
        <v>1737.68</v>
      </c>
      <c r="O106">
        <f>Main5[[#This Row],[Unit Price]]-Main5[[#This Row],[Unit Price]]*0.2</f>
        <v>347.536</v>
      </c>
      <c r="P106">
        <f>Main5[[#This Row],[Total Price]]-Main5[[#This Row],[Cost Price]]</f>
        <v>1390.144</v>
      </c>
      <c r="Q106" t="str">
        <f>TEXT(Main5[[#This Row],[Date]],"mmm")</f>
        <v>Mar</v>
      </c>
    </row>
    <row r="107" spans="1:17" x14ac:dyDescent="0.25">
      <c r="A107" t="s">
        <v>285</v>
      </c>
      <c r="B107" t="s">
        <v>2021</v>
      </c>
      <c r="C107" t="s">
        <v>286</v>
      </c>
      <c r="D107" t="s">
        <v>5</v>
      </c>
      <c r="E107" t="s">
        <v>1894</v>
      </c>
      <c r="F107" t="s">
        <v>2022</v>
      </c>
      <c r="G107" t="s">
        <v>287</v>
      </c>
      <c r="H107" t="s">
        <v>47</v>
      </c>
      <c r="I107" t="s">
        <v>23</v>
      </c>
      <c r="J107" t="s">
        <v>288</v>
      </c>
      <c r="K107" t="s">
        <v>1894</v>
      </c>
      <c r="L107" t="s">
        <v>1906</v>
      </c>
      <c r="M107" t="s">
        <v>32</v>
      </c>
      <c r="N107">
        <f>Main5[[#This Row],[Quantity]]*Main5[[#This Row],[Unit Price]]</f>
        <v>1733.8</v>
      </c>
      <c r="O107">
        <f>Main5[[#This Row],[Unit Price]]-Main5[[#This Row],[Unit Price]]*0.2</f>
        <v>346.76</v>
      </c>
      <c r="P107">
        <f>Main5[[#This Row],[Total Price]]-Main5[[#This Row],[Cost Price]]</f>
        <v>1387.04</v>
      </c>
      <c r="Q107" t="str">
        <f>TEXT(Main5[[#This Row],[Date]],"mmm")</f>
        <v>May</v>
      </c>
    </row>
    <row r="108" spans="1:17" x14ac:dyDescent="0.25">
      <c r="A108" t="s">
        <v>362</v>
      </c>
      <c r="B108" t="s">
        <v>2059</v>
      </c>
      <c r="C108" t="s">
        <v>363</v>
      </c>
      <c r="D108" t="s">
        <v>60</v>
      </c>
      <c r="E108" t="s">
        <v>1894</v>
      </c>
      <c r="F108" t="s">
        <v>2060</v>
      </c>
      <c r="G108" t="s">
        <v>364</v>
      </c>
      <c r="H108" t="s">
        <v>22</v>
      </c>
      <c r="I108" t="s">
        <v>30</v>
      </c>
      <c r="J108" t="s">
        <v>365</v>
      </c>
      <c r="K108" t="s">
        <v>1880</v>
      </c>
      <c r="L108" t="s">
        <v>1906</v>
      </c>
      <c r="M108" t="s">
        <v>17</v>
      </c>
      <c r="N108">
        <f>Main5[[#This Row],[Quantity]]*Main5[[#This Row],[Unit Price]]</f>
        <v>1724.04</v>
      </c>
      <c r="O108">
        <f>Main5[[#This Row],[Unit Price]]-Main5[[#This Row],[Unit Price]]*0.2</f>
        <v>344.80799999999999</v>
      </c>
      <c r="P108">
        <f>Main5[[#This Row],[Total Price]]-Main5[[#This Row],[Cost Price]]</f>
        <v>1379.232</v>
      </c>
      <c r="Q108" t="str">
        <f>TEXT(Main5[[#This Row],[Date]],"mmm")</f>
        <v>Jan</v>
      </c>
    </row>
    <row r="109" spans="1:17" x14ac:dyDescent="0.25">
      <c r="A109" t="s">
        <v>618</v>
      </c>
      <c r="B109" t="s">
        <v>2185</v>
      </c>
      <c r="C109" t="s">
        <v>619</v>
      </c>
      <c r="D109" t="s">
        <v>20</v>
      </c>
      <c r="E109" t="s">
        <v>1894</v>
      </c>
      <c r="F109" t="s">
        <v>2186</v>
      </c>
      <c r="G109" t="s">
        <v>620</v>
      </c>
      <c r="H109" t="s">
        <v>47</v>
      </c>
      <c r="I109" t="s">
        <v>75</v>
      </c>
      <c r="J109" t="s">
        <v>621</v>
      </c>
      <c r="K109" t="s">
        <v>1888</v>
      </c>
      <c r="L109" t="s">
        <v>1911</v>
      </c>
      <c r="M109" t="s">
        <v>17</v>
      </c>
      <c r="N109">
        <f>Main5[[#This Row],[Quantity]]*Main5[[#This Row],[Unit Price]]</f>
        <v>1723.32</v>
      </c>
      <c r="O109">
        <f>Main5[[#This Row],[Unit Price]]-Main5[[#This Row],[Unit Price]]*0.2</f>
        <v>344.66399999999999</v>
      </c>
      <c r="P109">
        <f>Main5[[#This Row],[Total Price]]-Main5[[#This Row],[Cost Price]]</f>
        <v>1378.6559999999999</v>
      </c>
      <c r="Q109" t="str">
        <f>TEXT(Main5[[#This Row],[Date]],"mmm")</f>
        <v>Jun</v>
      </c>
    </row>
    <row r="110" spans="1:17" x14ac:dyDescent="0.25">
      <c r="A110" t="s">
        <v>1431</v>
      </c>
      <c r="B110" t="s">
        <v>2583</v>
      </c>
      <c r="C110" t="s">
        <v>1432</v>
      </c>
      <c r="D110" t="s">
        <v>20</v>
      </c>
      <c r="E110" t="s">
        <v>1878</v>
      </c>
      <c r="F110" t="s">
        <v>2584</v>
      </c>
      <c r="G110" t="s">
        <v>1078</v>
      </c>
      <c r="H110" t="s">
        <v>7</v>
      </c>
      <c r="I110" t="s">
        <v>37</v>
      </c>
      <c r="J110" t="s">
        <v>1433</v>
      </c>
      <c r="K110" t="s">
        <v>1900</v>
      </c>
      <c r="L110" t="s">
        <v>1906</v>
      </c>
      <c r="M110" t="s">
        <v>25</v>
      </c>
      <c r="N110">
        <f>Main5[[#This Row],[Quantity]]*Main5[[#This Row],[Unit Price]]</f>
        <v>1709.8</v>
      </c>
      <c r="O110">
        <f>Main5[[#This Row],[Unit Price]]-Main5[[#This Row],[Unit Price]]*0.2</f>
        <v>273.56799999999998</v>
      </c>
      <c r="P110">
        <f>Main5[[#This Row],[Total Price]]-Main5[[#This Row],[Cost Price]]</f>
        <v>1436.232</v>
      </c>
      <c r="Q110" t="str">
        <f>TEXT(Main5[[#This Row],[Date]],"mmm")</f>
        <v>Jan</v>
      </c>
    </row>
    <row r="111" spans="1:17" x14ac:dyDescent="0.25">
      <c r="A111" t="s">
        <v>1647</v>
      </c>
      <c r="B111" t="s">
        <v>2693</v>
      </c>
      <c r="C111" t="s">
        <v>1648</v>
      </c>
      <c r="D111" t="s">
        <v>35</v>
      </c>
      <c r="E111" t="s">
        <v>1885</v>
      </c>
      <c r="F111" t="s">
        <v>2694</v>
      </c>
      <c r="G111" t="s">
        <v>1649</v>
      </c>
      <c r="H111" t="s">
        <v>47</v>
      </c>
      <c r="I111" t="s">
        <v>23</v>
      </c>
      <c r="J111" t="s">
        <v>1650</v>
      </c>
      <c r="K111" t="s">
        <v>1888</v>
      </c>
      <c r="L111" t="s">
        <v>1911</v>
      </c>
      <c r="M111" t="s">
        <v>10</v>
      </c>
      <c r="N111">
        <f>Main5[[#This Row],[Quantity]]*Main5[[#This Row],[Unit Price]]</f>
        <v>1709.52</v>
      </c>
      <c r="O111">
        <f>Main5[[#This Row],[Unit Price]]-Main5[[#This Row],[Unit Price]]*0.2</f>
        <v>455.87200000000001</v>
      </c>
      <c r="P111">
        <f>Main5[[#This Row],[Total Price]]-Main5[[#This Row],[Cost Price]]</f>
        <v>1253.6479999999999</v>
      </c>
      <c r="Q111" t="str">
        <f>TEXT(Main5[[#This Row],[Date]],"mmm")</f>
        <v>Aug</v>
      </c>
    </row>
    <row r="112" spans="1:17" x14ac:dyDescent="0.25">
      <c r="A112" t="s">
        <v>1462</v>
      </c>
      <c r="B112" t="s">
        <v>2599</v>
      </c>
      <c r="C112" t="s">
        <v>1463</v>
      </c>
      <c r="D112" t="s">
        <v>28</v>
      </c>
      <c r="E112" t="s">
        <v>1878</v>
      </c>
      <c r="F112" t="s">
        <v>2600</v>
      </c>
      <c r="G112" t="s">
        <v>1464</v>
      </c>
      <c r="H112" t="s">
        <v>15</v>
      </c>
      <c r="I112" t="s">
        <v>8</v>
      </c>
      <c r="J112" t="s">
        <v>1465</v>
      </c>
      <c r="K112" t="s">
        <v>1888</v>
      </c>
      <c r="L112" t="s">
        <v>1889</v>
      </c>
      <c r="M112" t="s">
        <v>10</v>
      </c>
      <c r="N112">
        <f>Main5[[#This Row],[Quantity]]*Main5[[#This Row],[Unit Price]]</f>
        <v>1709.1999999999998</v>
      </c>
      <c r="O112">
        <f>Main5[[#This Row],[Unit Price]]-Main5[[#This Row],[Unit Price]]*0.2</f>
        <v>273.47199999999998</v>
      </c>
      <c r="P112">
        <f>Main5[[#This Row],[Total Price]]-Main5[[#This Row],[Cost Price]]</f>
        <v>1435.7279999999998</v>
      </c>
      <c r="Q112" t="str">
        <f>TEXT(Main5[[#This Row],[Date]],"mmm")</f>
        <v>Jun</v>
      </c>
    </row>
    <row r="113" spans="1:17" x14ac:dyDescent="0.25">
      <c r="A113" t="s">
        <v>1291</v>
      </c>
      <c r="B113" t="s">
        <v>2513</v>
      </c>
      <c r="C113" t="s">
        <v>1292</v>
      </c>
      <c r="D113" t="s">
        <v>5</v>
      </c>
      <c r="E113" t="s">
        <v>1885</v>
      </c>
      <c r="F113" t="s">
        <v>2514</v>
      </c>
      <c r="G113" t="s">
        <v>1293</v>
      </c>
      <c r="H113" t="s">
        <v>7</v>
      </c>
      <c r="I113" t="s">
        <v>30</v>
      </c>
      <c r="J113" t="s">
        <v>1294</v>
      </c>
      <c r="K113" t="s">
        <v>1880</v>
      </c>
      <c r="L113" t="s">
        <v>1881</v>
      </c>
      <c r="M113" t="s">
        <v>25</v>
      </c>
      <c r="N113">
        <f>Main5[[#This Row],[Quantity]]*Main5[[#This Row],[Unit Price]]</f>
        <v>1695.75</v>
      </c>
      <c r="O113">
        <f>Main5[[#This Row],[Unit Price]]-Main5[[#This Row],[Unit Price]]*0.2</f>
        <v>452.2</v>
      </c>
      <c r="P113">
        <f>Main5[[#This Row],[Total Price]]-Main5[[#This Row],[Cost Price]]</f>
        <v>1243.55</v>
      </c>
      <c r="Q113" t="str">
        <f>TEXT(Main5[[#This Row],[Date]],"mmm")</f>
        <v>May</v>
      </c>
    </row>
    <row r="114" spans="1:17" x14ac:dyDescent="0.25">
      <c r="A114" t="s">
        <v>1144</v>
      </c>
      <c r="B114" t="s">
        <v>2442</v>
      </c>
      <c r="C114" t="s">
        <v>1145</v>
      </c>
      <c r="D114" t="s">
        <v>35</v>
      </c>
      <c r="E114" t="s">
        <v>1878</v>
      </c>
      <c r="F114" t="s">
        <v>2239</v>
      </c>
      <c r="G114" t="s">
        <v>1146</v>
      </c>
      <c r="H114" t="s">
        <v>47</v>
      </c>
      <c r="I114" t="s">
        <v>8</v>
      </c>
      <c r="J114" t="s">
        <v>1147</v>
      </c>
      <c r="K114" t="s">
        <v>1878</v>
      </c>
      <c r="L114" t="s">
        <v>1906</v>
      </c>
      <c r="M114" t="s">
        <v>17</v>
      </c>
      <c r="N114">
        <f>Main5[[#This Row],[Quantity]]*Main5[[#This Row],[Unit Price]]</f>
        <v>1686.9</v>
      </c>
      <c r="O114">
        <f>Main5[[#This Row],[Unit Price]]-Main5[[#This Row],[Unit Price]]*0.2</f>
        <v>269.904</v>
      </c>
      <c r="P114">
        <f>Main5[[#This Row],[Total Price]]-Main5[[#This Row],[Cost Price]]</f>
        <v>1416.9960000000001</v>
      </c>
      <c r="Q114" t="str">
        <f>TEXT(Main5[[#This Row],[Date]],"mmm")</f>
        <v>Apr</v>
      </c>
    </row>
    <row r="115" spans="1:17" x14ac:dyDescent="0.25">
      <c r="A115" t="s">
        <v>951</v>
      </c>
      <c r="B115" t="s">
        <v>2348</v>
      </c>
      <c r="C115" t="s">
        <v>952</v>
      </c>
      <c r="D115" t="s">
        <v>45</v>
      </c>
      <c r="E115" t="s">
        <v>1885</v>
      </c>
      <c r="F115" t="s">
        <v>2349</v>
      </c>
      <c r="G115" t="s">
        <v>953</v>
      </c>
      <c r="H115" t="s">
        <v>15</v>
      </c>
      <c r="I115" t="s">
        <v>37</v>
      </c>
      <c r="J115" t="s">
        <v>954</v>
      </c>
      <c r="K115" t="s">
        <v>1894</v>
      </c>
      <c r="L115" t="s">
        <v>1906</v>
      </c>
      <c r="M115" t="s">
        <v>25</v>
      </c>
      <c r="N115">
        <f>Main5[[#This Row],[Quantity]]*Main5[[#This Row],[Unit Price]]</f>
        <v>1672.23</v>
      </c>
      <c r="O115">
        <f>Main5[[#This Row],[Unit Price]]-Main5[[#This Row],[Unit Price]]*0.2</f>
        <v>445.928</v>
      </c>
      <c r="P115">
        <f>Main5[[#This Row],[Total Price]]-Main5[[#This Row],[Cost Price]]</f>
        <v>1226.3020000000001</v>
      </c>
      <c r="Q115" t="str">
        <f>TEXT(Main5[[#This Row],[Date]],"mmm")</f>
        <v>Jul</v>
      </c>
    </row>
    <row r="116" spans="1:17" x14ac:dyDescent="0.25">
      <c r="A116" t="s">
        <v>1840</v>
      </c>
      <c r="B116" t="s">
        <v>2797</v>
      </c>
      <c r="C116" t="s">
        <v>1841</v>
      </c>
      <c r="D116" t="s">
        <v>20</v>
      </c>
      <c r="E116" t="s">
        <v>1885</v>
      </c>
      <c r="F116" t="s">
        <v>2798</v>
      </c>
      <c r="G116" t="s">
        <v>1842</v>
      </c>
      <c r="H116" t="s">
        <v>7</v>
      </c>
      <c r="I116" t="s">
        <v>8</v>
      </c>
      <c r="J116" t="s">
        <v>1843</v>
      </c>
      <c r="K116" t="s">
        <v>1900</v>
      </c>
      <c r="L116" t="s">
        <v>1911</v>
      </c>
      <c r="M116" t="s">
        <v>17</v>
      </c>
      <c r="N116">
        <f>Main5[[#This Row],[Quantity]]*Main5[[#This Row],[Unit Price]]</f>
        <v>1662.75</v>
      </c>
      <c r="O116">
        <f>Main5[[#This Row],[Unit Price]]-Main5[[#This Row],[Unit Price]]*0.2</f>
        <v>443.4</v>
      </c>
      <c r="P116">
        <f>Main5[[#This Row],[Total Price]]-Main5[[#This Row],[Cost Price]]</f>
        <v>1219.3499999999999</v>
      </c>
      <c r="Q116" t="str">
        <f>TEXT(Main5[[#This Row],[Date]],"mmm")</f>
        <v>Apr</v>
      </c>
    </row>
    <row r="117" spans="1:17" x14ac:dyDescent="0.25">
      <c r="A117" t="s">
        <v>630</v>
      </c>
      <c r="B117" t="s">
        <v>2191</v>
      </c>
      <c r="C117" t="s">
        <v>631</v>
      </c>
      <c r="D117" t="s">
        <v>45</v>
      </c>
      <c r="E117" t="s">
        <v>1885</v>
      </c>
      <c r="F117" t="s">
        <v>2192</v>
      </c>
      <c r="G117" t="s">
        <v>632</v>
      </c>
      <c r="H117" t="s">
        <v>22</v>
      </c>
      <c r="I117" t="s">
        <v>37</v>
      </c>
      <c r="J117" t="s">
        <v>633</v>
      </c>
      <c r="K117" t="s">
        <v>1888</v>
      </c>
      <c r="L117" t="s">
        <v>1906</v>
      </c>
      <c r="M117" t="s">
        <v>25</v>
      </c>
      <c r="N117">
        <f>Main5[[#This Row],[Quantity]]*Main5[[#This Row],[Unit Price]]</f>
        <v>1619.73</v>
      </c>
      <c r="O117">
        <f>Main5[[#This Row],[Unit Price]]-Main5[[#This Row],[Unit Price]]*0.2</f>
        <v>431.928</v>
      </c>
      <c r="P117">
        <f>Main5[[#This Row],[Total Price]]-Main5[[#This Row],[Cost Price]]</f>
        <v>1187.8020000000001</v>
      </c>
      <c r="Q117" t="str">
        <f>TEXT(Main5[[#This Row],[Date]],"mmm")</f>
        <v>Nov</v>
      </c>
    </row>
    <row r="118" spans="1:17" x14ac:dyDescent="0.25">
      <c r="A118" t="s">
        <v>1287</v>
      </c>
      <c r="B118" t="s">
        <v>2511</v>
      </c>
      <c r="C118" t="s">
        <v>1288</v>
      </c>
      <c r="D118" t="s">
        <v>35</v>
      </c>
      <c r="E118" t="s">
        <v>1885</v>
      </c>
      <c r="F118" t="s">
        <v>2512</v>
      </c>
      <c r="G118" t="s">
        <v>1289</v>
      </c>
      <c r="H118" t="s">
        <v>22</v>
      </c>
      <c r="I118" t="s">
        <v>8</v>
      </c>
      <c r="J118" t="s">
        <v>1290</v>
      </c>
      <c r="K118" t="s">
        <v>1894</v>
      </c>
      <c r="L118" t="s">
        <v>1881</v>
      </c>
      <c r="M118" t="s">
        <v>32</v>
      </c>
      <c r="N118">
        <f>Main5[[#This Row],[Quantity]]*Main5[[#This Row],[Unit Price]]</f>
        <v>1618.38</v>
      </c>
      <c r="O118">
        <f>Main5[[#This Row],[Unit Price]]-Main5[[#This Row],[Unit Price]]*0.2</f>
        <v>431.56800000000004</v>
      </c>
      <c r="P118">
        <f>Main5[[#This Row],[Total Price]]-Main5[[#This Row],[Cost Price]]</f>
        <v>1186.8120000000001</v>
      </c>
      <c r="Q118" t="str">
        <f>TEXT(Main5[[#This Row],[Date]],"mmm")</f>
        <v>Apr</v>
      </c>
    </row>
    <row r="119" spans="1:17" x14ac:dyDescent="0.25">
      <c r="A119" t="s">
        <v>785</v>
      </c>
      <c r="B119" t="s">
        <v>2268</v>
      </c>
      <c r="C119" t="s">
        <v>786</v>
      </c>
      <c r="D119" t="s">
        <v>20</v>
      </c>
      <c r="E119" t="s">
        <v>1885</v>
      </c>
      <c r="F119" t="s">
        <v>2269</v>
      </c>
      <c r="G119" t="s">
        <v>787</v>
      </c>
      <c r="H119" t="s">
        <v>15</v>
      </c>
      <c r="I119" t="s">
        <v>8</v>
      </c>
      <c r="J119" t="s">
        <v>788</v>
      </c>
      <c r="K119" t="s">
        <v>1900</v>
      </c>
      <c r="L119" t="s">
        <v>1889</v>
      </c>
      <c r="M119" t="s">
        <v>25</v>
      </c>
      <c r="N119">
        <f>Main5[[#This Row],[Quantity]]*Main5[[#This Row],[Unit Price]]</f>
        <v>1616.22</v>
      </c>
      <c r="O119">
        <f>Main5[[#This Row],[Unit Price]]-Main5[[#This Row],[Unit Price]]*0.2</f>
        <v>430.99200000000002</v>
      </c>
      <c r="P119">
        <f>Main5[[#This Row],[Total Price]]-Main5[[#This Row],[Cost Price]]</f>
        <v>1185.2280000000001</v>
      </c>
      <c r="Q119" t="str">
        <f>TEXT(Main5[[#This Row],[Date]],"mmm")</f>
        <v>Dec</v>
      </c>
    </row>
    <row r="120" spans="1:17" x14ac:dyDescent="0.25">
      <c r="A120" t="s">
        <v>532</v>
      </c>
      <c r="B120" t="s">
        <v>2143</v>
      </c>
      <c r="C120" t="s">
        <v>533</v>
      </c>
      <c r="D120" t="s">
        <v>28</v>
      </c>
      <c r="E120" t="s">
        <v>1894</v>
      </c>
      <c r="F120" t="s">
        <v>2144</v>
      </c>
      <c r="G120" t="s">
        <v>534</v>
      </c>
      <c r="H120" t="s">
        <v>15</v>
      </c>
      <c r="I120" t="s">
        <v>8</v>
      </c>
      <c r="J120" t="s">
        <v>535</v>
      </c>
      <c r="K120" t="s">
        <v>1878</v>
      </c>
      <c r="L120" t="s">
        <v>1906</v>
      </c>
      <c r="M120" t="s">
        <v>17</v>
      </c>
      <c r="N120">
        <f>Main5[[#This Row],[Quantity]]*Main5[[#This Row],[Unit Price]]</f>
        <v>1600.28</v>
      </c>
      <c r="O120">
        <f>Main5[[#This Row],[Unit Price]]-Main5[[#This Row],[Unit Price]]*0.2</f>
        <v>320.05599999999998</v>
      </c>
      <c r="P120">
        <f>Main5[[#This Row],[Total Price]]-Main5[[#This Row],[Cost Price]]</f>
        <v>1280.2239999999999</v>
      </c>
      <c r="Q120" t="str">
        <f>TEXT(Main5[[#This Row],[Date]],"mmm")</f>
        <v>Jun</v>
      </c>
    </row>
    <row r="121" spans="1:17" x14ac:dyDescent="0.25">
      <c r="A121" t="s">
        <v>634</v>
      </c>
      <c r="B121" t="s">
        <v>2193</v>
      </c>
      <c r="C121" t="s">
        <v>635</v>
      </c>
      <c r="D121" t="s">
        <v>20</v>
      </c>
      <c r="E121" t="s">
        <v>1878</v>
      </c>
      <c r="F121" t="s">
        <v>2194</v>
      </c>
      <c r="G121" t="s">
        <v>636</v>
      </c>
      <c r="H121" t="s">
        <v>52</v>
      </c>
      <c r="I121" t="s">
        <v>30</v>
      </c>
      <c r="J121" t="s">
        <v>637</v>
      </c>
      <c r="K121" t="s">
        <v>1954</v>
      </c>
      <c r="L121" t="s">
        <v>1906</v>
      </c>
      <c r="M121" t="s">
        <v>63</v>
      </c>
      <c r="N121">
        <f>Main5[[#This Row],[Quantity]]*Main5[[#This Row],[Unit Price]]</f>
        <v>1580.35</v>
      </c>
      <c r="O121">
        <f>Main5[[#This Row],[Unit Price]]-Main5[[#This Row],[Unit Price]]*0.2</f>
        <v>252.85599999999999</v>
      </c>
      <c r="P121">
        <f>Main5[[#This Row],[Total Price]]-Main5[[#This Row],[Cost Price]]</f>
        <v>1327.4939999999999</v>
      </c>
      <c r="Q121" t="str">
        <f>TEXT(Main5[[#This Row],[Date]],"mmm")</f>
        <v>Mar</v>
      </c>
    </row>
    <row r="122" spans="1:17" x14ac:dyDescent="0.25">
      <c r="A122" t="s">
        <v>229</v>
      </c>
      <c r="B122" t="s">
        <v>1993</v>
      </c>
      <c r="C122" t="s">
        <v>230</v>
      </c>
      <c r="D122" t="s">
        <v>35</v>
      </c>
      <c r="E122" t="s">
        <v>1878</v>
      </c>
      <c r="F122" t="s">
        <v>1994</v>
      </c>
      <c r="G122" t="s">
        <v>231</v>
      </c>
      <c r="H122" t="s">
        <v>52</v>
      </c>
      <c r="I122" t="s">
        <v>30</v>
      </c>
      <c r="J122" t="s">
        <v>232</v>
      </c>
      <c r="K122" t="s">
        <v>1900</v>
      </c>
      <c r="L122" t="s">
        <v>1881</v>
      </c>
      <c r="M122" t="s">
        <v>10</v>
      </c>
      <c r="N122">
        <f>Main5[[#This Row],[Quantity]]*Main5[[#This Row],[Unit Price]]</f>
        <v>1571.35</v>
      </c>
      <c r="O122">
        <f>Main5[[#This Row],[Unit Price]]-Main5[[#This Row],[Unit Price]]*0.2</f>
        <v>251.416</v>
      </c>
      <c r="P122">
        <f>Main5[[#This Row],[Total Price]]-Main5[[#This Row],[Cost Price]]</f>
        <v>1319.934</v>
      </c>
      <c r="Q122" t="str">
        <f>TEXT(Main5[[#This Row],[Date]],"mmm")</f>
        <v>Jan</v>
      </c>
    </row>
    <row r="123" spans="1:17" x14ac:dyDescent="0.25">
      <c r="A123" t="s">
        <v>753</v>
      </c>
      <c r="B123" t="s">
        <v>2252</v>
      </c>
      <c r="C123" t="s">
        <v>754</v>
      </c>
      <c r="D123" t="s">
        <v>28</v>
      </c>
      <c r="E123" t="s">
        <v>1894</v>
      </c>
      <c r="F123" t="s">
        <v>2253</v>
      </c>
      <c r="G123" t="s">
        <v>755</v>
      </c>
      <c r="H123" t="s">
        <v>22</v>
      </c>
      <c r="I123" t="s">
        <v>23</v>
      </c>
      <c r="J123" t="s">
        <v>756</v>
      </c>
      <c r="K123" t="s">
        <v>1888</v>
      </c>
      <c r="L123" t="s">
        <v>1906</v>
      </c>
      <c r="M123" t="s">
        <v>10</v>
      </c>
      <c r="N123">
        <f>Main5[[#This Row],[Quantity]]*Main5[[#This Row],[Unit Price]]</f>
        <v>1543.68</v>
      </c>
      <c r="O123">
        <f>Main5[[#This Row],[Unit Price]]-Main5[[#This Row],[Unit Price]]*0.2</f>
        <v>308.73599999999999</v>
      </c>
      <c r="P123">
        <f>Main5[[#This Row],[Total Price]]-Main5[[#This Row],[Cost Price]]</f>
        <v>1234.944</v>
      </c>
      <c r="Q123" t="str">
        <f>TEXT(Main5[[#This Row],[Date]],"mmm")</f>
        <v>May</v>
      </c>
    </row>
    <row r="124" spans="1:17" x14ac:dyDescent="0.25">
      <c r="A124" t="s">
        <v>1373</v>
      </c>
      <c r="B124" t="s">
        <v>2555</v>
      </c>
      <c r="C124" t="s">
        <v>1374</v>
      </c>
      <c r="D124" t="s">
        <v>20</v>
      </c>
      <c r="E124" t="s">
        <v>1878</v>
      </c>
      <c r="F124" t="s">
        <v>2556</v>
      </c>
      <c r="G124" t="s">
        <v>1238</v>
      </c>
      <c r="H124" t="s">
        <v>15</v>
      </c>
      <c r="I124" t="s">
        <v>75</v>
      </c>
      <c r="J124" t="s">
        <v>1375</v>
      </c>
      <c r="K124" t="s">
        <v>1954</v>
      </c>
      <c r="L124" t="s">
        <v>1906</v>
      </c>
      <c r="M124" t="s">
        <v>32</v>
      </c>
      <c r="N124">
        <f>Main5[[#This Row],[Quantity]]*Main5[[#This Row],[Unit Price]]</f>
        <v>1539.9</v>
      </c>
      <c r="O124">
        <f>Main5[[#This Row],[Unit Price]]-Main5[[#This Row],[Unit Price]]*0.2</f>
        <v>246.38400000000001</v>
      </c>
      <c r="P124">
        <f>Main5[[#This Row],[Total Price]]-Main5[[#This Row],[Cost Price]]</f>
        <v>1293.5160000000001</v>
      </c>
      <c r="Q124" t="str">
        <f>TEXT(Main5[[#This Row],[Date]],"mmm")</f>
        <v>May</v>
      </c>
    </row>
    <row r="125" spans="1:17" x14ac:dyDescent="0.25">
      <c r="A125" t="s">
        <v>781</v>
      </c>
      <c r="B125" t="s">
        <v>2266</v>
      </c>
      <c r="C125" t="s">
        <v>782</v>
      </c>
      <c r="D125" t="s">
        <v>60</v>
      </c>
      <c r="E125" t="s">
        <v>1894</v>
      </c>
      <c r="F125" t="s">
        <v>2267</v>
      </c>
      <c r="G125" t="s">
        <v>783</v>
      </c>
      <c r="H125" t="s">
        <v>22</v>
      </c>
      <c r="I125" t="s">
        <v>75</v>
      </c>
      <c r="J125" t="s">
        <v>784</v>
      </c>
      <c r="K125" t="s">
        <v>1900</v>
      </c>
      <c r="L125" t="s">
        <v>1911</v>
      </c>
      <c r="M125" t="s">
        <v>63</v>
      </c>
      <c r="N125">
        <f>Main5[[#This Row],[Quantity]]*Main5[[#This Row],[Unit Price]]</f>
        <v>1537.28</v>
      </c>
      <c r="O125">
        <f>Main5[[#This Row],[Unit Price]]-Main5[[#This Row],[Unit Price]]*0.2</f>
        <v>307.45600000000002</v>
      </c>
      <c r="P125">
        <f>Main5[[#This Row],[Total Price]]-Main5[[#This Row],[Cost Price]]</f>
        <v>1229.8240000000001</v>
      </c>
      <c r="Q125" t="str">
        <f>TEXT(Main5[[#This Row],[Date]],"mmm")</f>
        <v>Dec</v>
      </c>
    </row>
    <row r="126" spans="1:17" x14ac:dyDescent="0.25">
      <c r="A126" t="s">
        <v>297</v>
      </c>
      <c r="B126" t="s">
        <v>2027</v>
      </c>
      <c r="C126" t="s">
        <v>298</v>
      </c>
      <c r="D126" t="s">
        <v>45</v>
      </c>
      <c r="E126" t="s">
        <v>1894</v>
      </c>
      <c r="F126" t="s">
        <v>2028</v>
      </c>
      <c r="G126" t="s">
        <v>299</v>
      </c>
      <c r="H126" t="s">
        <v>52</v>
      </c>
      <c r="I126" t="s">
        <v>23</v>
      </c>
      <c r="J126" t="s">
        <v>300</v>
      </c>
      <c r="K126" t="s">
        <v>1900</v>
      </c>
      <c r="L126" t="s">
        <v>1911</v>
      </c>
      <c r="M126" t="s">
        <v>25</v>
      </c>
      <c r="N126">
        <f>Main5[[#This Row],[Quantity]]*Main5[[#This Row],[Unit Price]]</f>
        <v>1531.52</v>
      </c>
      <c r="O126">
        <f>Main5[[#This Row],[Unit Price]]-Main5[[#This Row],[Unit Price]]*0.2</f>
        <v>306.30399999999997</v>
      </c>
      <c r="P126">
        <f>Main5[[#This Row],[Total Price]]-Main5[[#This Row],[Cost Price]]</f>
        <v>1225.2159999999999</v>
      </c>
      <c r="Q126" t="str">
        <f>TEXT(Main5[[#This Row],[Date]],"mmm")</f>
        <v>Mar</v>
      </c>
    </row>
    <row r="127" spans="1:17" x14ac:dyDescent="0.25">
      <c r="A127" t="s">
        <v>1019</v>
      </c>
      <c r="B127" t="s">
        <v>2382</v>
      </c>
      <c r="C127" t="s">
        <v>1020</v>
      </c>
      <c r="D127" t="s">
        <v>13</v>
      </c>
      <c r="E127" t="s">
        <v>1878</v>
      </c>
      <c r="F127" t="s">
        <v>2383</v>
      </c>
      <c r="G127" t="s">
        <v>1021</v>
      </c>
      <c r="H127" t="s">
        <v>7</v>
      </c>
      <c r="I127" t="s">
        <v>8</v>
      </c>
      <c r="J127" t="s">
        <v>1022</v>
      </c>
      <c r="K127" t="s">
        <v>1954</v>
      </c>
      <c r="L127" t="s">
        <v>1906</v>
      </c>
      <c r="M127" t="s">
        <v>17</v>
      </c>
      <c r="N127">
        <f>Main5[[#This Row],[Quantity]]*Main5[[#This Row],[Unit Price]]</f>
        <v>1527.45</v>
      </c>
      <c r="O127">
        <f>Main5[[#This Row],[Unit Price]]-Main5[[#This Row],[Unit Price]]*0.2</f>
        <v>244.392</v>
      </c>
      <c r="P127">
        <f>Main5[[#This Row],[Total Price]]-Main5[[#This Row],[Cost Price]]</f>
        <v>1283.058</v>
      </c>
      <c r="Q127" t="str">
        <f>TEXT(Main5[[#This Row],[Date]],"mmm")</f>
        <v>Nov</v>
      </c>
    </row>
    <row r="128" spans="1:17" x14ac:dyDescent="0.25">
      <c r="A128" t="s">
        <v>1255</v>
      </c>
      <c r="B128" t="s">
        <v>2495</v>
      </c>
      <c r="C128" t="s">
        <v>1256</v>
      </c>
      <c r="D128" t="s">
        <v>28</v>
      </c>
      <c r="E128" t="s">
        <v>1885</v>
      </c>
      <c r="F128" t="s">
        <v>2496</v>
      </c>
      <c r="G128" t="s">
        <v>1257</v>
      </c>
      <c r="H128" t="s">
        <v>22</v>
      </c>
      <c r="I128" t="s">
        <v>23</v>
      </c>
      <c r="J128" t="s">
        <v>1258</v>
      </c>
      <c r="K128" t="s">
        <v>1888</v>
      </c>
      <c r="L128" t="s">
        <v>1889</v>
      </c>
      <c r="M128" t="s">
        <v>17</v>
      </c>
      <c r="N128">
        <f>Main5[[#This Row],[Quantity]]*Main5[[#This Row],[Unit Price]]</f>
        <v>1524.3600000000001</v>
      </c>
      <c r="O128">
        <f>Main5[[#This Row],[Unit Price]]-Main5[[#This Row],[Unit Price]]*0.2</f>
        <v>406.49599999999998</v>
      </c>
      <c r="P128">
        <f>Main5[[#This Row],[Total Price]]-Main5[[#This Row],[Cost Price]]</f>
        <v>1117.864</v>
      </c>
      <c r="Q128" t="str">
        <f>TEXT(Main5[[#This Row],[Date]],"mmm")</f>
        <v>Jan</v>
      </c>
    </row>
    <row r="129" spans="1:17" x14ac:dyDescent="0.25">
      <c r="A129" t="s">
        <v>1015</v>
      </c>
      <c r="B129" t="s">
        <v>2380</v>
      </c>
      <c r="C129" t="s">
        <v>1016</v>
      </c>
      <c r="D129" t="s">
        <v>20</v>
      </c>
      <c r="E129" t="s">
        <v>1885</v>
      </c>
      <c r="F129" t="s">
        <v>2381</v>
      </c>
      <c r="G129" t="s">
        <v>1017</v>
      </c>
      <c r="H129" t="s">
        <v>7</v>
      </c>
      <c r="I129" t="s">
        <v>30</v>
      </c>
      <c r="J129" t="s">
        <v>1018</v>
      </c>
      <c r="K129" t="s">
        <v>1888</v>
      </c>
      <c r="L129" t="s">
        <v>1911</v>
      </c>
      <c r="M129" t="s">
        <v>25</v>
      </c>
      <c r="N129">
        <f>Main5[[#This Row],[Quantity]]*Main5[[#This Row],[Unit Price]]</f>
        <v>1508.31</v>
      </c>
      <c r="O129">
        <f>Main5[[#This Row],[Unit Price]]-Main5[[#This Row],[Unit Price]]*0.2</f>
        <v>402.21600000000001</v>
      </c>
      <c r="P129">
        <f>Main5[[#This Row],[Total Price]]-Main5[[#This Row],[Cost Price]]</f>
        <v>1106.0940000000001</v>
      </c>
      <c r="Q129" t="str">
        <f>TEXT(Main5[[#This Row],[Date]],"mmm")</f>
        <v>May</v>
      </c>
    </row>
    <row r="130" spans="1:17" x14ac:dyDescent="0.25">
      <c r="A130" t="s">
        <v>488</v>
      </c>
      <c r="B130" t="s">
        <v>2121</v>
      </c>
      <c r="C130" t="s">
        <v>489</v>
      </c>
      <c r="D130" t="s">
        <v>60</v>
      </c>
      <c r="E130" t="s">
        <v>1885</v>
      </c>
      <c r="F130" t="s">
        <v>2122</v>
      </c>
      <c r="G130" t="s">
        <v>490</v>
      </c>
      <c r="H130" t="s">
        <v>15</v>
      </c>
      <c r="I130" t="s">
        <v>23</v>
      </c>
      <c r="J130" t="s">
        <v>491</v>
      </c>
      <c r="K130" t="s">
        <v>1885</v>
      </c>
      <c r="L130" t="s">
        <v>1911</v>
      </c>
      <c r="M130" t="s">
        <v>32</v>
      </c>
      <c r="N130">
        <f>Main5[[#This Row],[Quantity]]*Main5[[#This Row],[Unit Price]]</f>
        <v>1503.9</v>
      </c>
      <c r="O130">
        <f>Main5[[#This Row],[Unit Price]]-Main5[[#This Row],[Unit Price]]*0.2</f>
        <v>401.04</v>
      </c>
      <c r="P130">
        <f>Main5[[#This Row],[Total Price]]-Main5[[#This Row],[Cost Price]]</f>
        <v>1102.8600000000001</v>
      </c>
      <c r="Q130" t="str">
        <f>TEXT(Main5[[#This Row],[Date]],"mmm")</f>
        <v>Jan</v>
      </c>
    </row>
    <row r="131" spans="1:17" x14ac:dyDescent="0.25">
      <c r="A131" t="s">
        <v>145</v>
      </c>
      <c r="B131" t="s">
        <v>1950</v>
      </c>
      <c r="C131" t="s">
        <v>146</v>
      </c>
      <c r="D131" t="s">
        <v>28</v>
      </c>
      <c r="E131" t="s">
        <v>1885</v>
      </c>
      <c r="F131" t="s">
        <v>1951</v>
      </c>
      <c r="G131" t="s">
        <v>147</v>
      </c>
      <c r="H131" t="s">
        <v>7</v>
      </c>
      <c r="I131" t="s">
        <v>30</v>
      </c>
      <c r="J131" t="s">
        <v>148</v>
      </c>
      <c r="K131" t="s">
        <v>1900</v>
      </c>
      <c r="L131" t="s">
        <v>1906</v>
      </c>
      <c r="M131" t="s">
        <v>32</v>
      </c>
      <c r="N131">
        <f>Main5[[#This Row],[Quantity]]*Main5[[#This Row],[Unit Price]]</f>
        <v>1500.24</v>
      </c>
      <c r="O131">
        <f>Main5[[#This Row],[Unit Price]]-Main5[[#This Row],[Unit Price]]*0.2</f>
        <v>400.06399999999996</v>
      </c>
      <c r="P131">
        <f>Main5[[#This Row],[Total Price]]-Main5[[#This Row],[Cost Price]]</f>
        <v>1100.1759999999999</v>
      </c>
      <c r="Q131" t="str">
        <f>TEXT(Main5[[#This Row],[Date]],"mmm")</f>
        <v>Jun</v>
      </c>
    </row>
    <row r="132" spans="1:17" x14ac:dyDescent="0.25">
      <c r="A132" t="s">
        <v>185</v>
      </c>
      <c r="B132" t="s">
        <v>1971</v>
      </c>
      <c r="C132" t="s">
        <v>186</v>
      </c>
      <c r="D132" t="s">
        <v>28</v>
      </c>
      <c r="E132" t="s">
        <v>1885</v>
      </c>
      <c r="F132" t="s">
        <v>1972</v>
      </c>
      <c r="G132" t="s">
        <v>187</v>
      </c>
      <c r="H132" t="s">
        <v>15</v>
      </c>
      <c r="I132" t="s">
        <v>23</v>
      </c>
      <c r="J132" t="s">
        <v>188</v>
      </c>
      <c r="K132" t="s">
        <v>1888</v>
      </c>
      <c r="L132" t="s">
        <v>1906</v>
      </c>
      <c r="M132" t="s">
        <v>10</v>
      </c>
      <c r="N132">
        <f>Main5[[#This Row],[Quantity]]*Main5[[#This Row],[Unit Price]]</f>
        <v>1497.6299999999999</v>
      </c>
      <c r="O132">
        <f>Main5[[#This Row],[Unit Price]]-Main5[[#This Row],[Unit Price]]*0.2</f>
        <v>399.36799999999999</v>
      </c>
      <c r="P132">
        <f>Main5[[#This Row],[Total Price]]-Main5[[#This Row],[Cost Price]]</f>
        <v>1098.2619999999999</v>
      </c>
      <c r="Q132" t="str">
        <f>TEXT(Main5[[#This Row],[Date]],"mmm")</f>
        <v>Dec</v>
      </c>
    </row>
    <row r="133" spans="1:17" x14ac:dyDescent="0.25">
      <c r="A133" t="s">
        <v>225</v>
      </c>
      <c r="B133" t="s">
        <v>1991</v>
      </c>
      <c r="C133" t="s">
        <v>226</v>
      </c>
      <c r="D133" t="s">
        <v>20</v>
      </c>
      <c r="E133" t="s">
        <v>1885</v>
      </c>
      <c r="F133" t="s">
        <v>1992</v>
      </c>
      <c r="G133" t="s">
        <v>227</v>
      </c>
      <c r="H133" t="s">
        <v>52</v>
      </c>
      <c r="I133" t="s">
        <v>23</v>
      </c>
      <c r="J133" t="s">
        <v>228</v>
      </c>
      <c r="K133" t="s">
        <v>1878</v>
      </c>
      <c r="L133" t="s">
        <v>1911</v>
      </c>
      <c r="M133" t="s">
        <v>17</v>
      </c>
      <c r="N133">
        <f>Main5[[#This Row],[Quantity]]*Main5[[#This Row],[Unit Price]]</f>
        <v>1437.6299999999999</v>
      </c>
      <c r="O133">
        <f>Main5[[#This Row],[Unit Price]]-Main5[[#This Row],[Unit Price]]*0.2</f>
        <v>383.36799999999999</v>
      </c>
      <c r="P133">
        <f>Main5[[#This Row],[Total Price]]-Main5[[#This Row],[Cost Price]]</f>
        <v>1054.2619999999999</v>
      </c>
      <c r="Q133" t="str">
        <f>TEXT(Main5[[#This Row],[Date]],"mmm")</f>
        <v>May</v>
      </c>
    </row>
    <row r="134" spans="1:17" x14ac:dyDescent="0.25">
      <c r="A134" t="s">
        <v>273</v>
      </c>
      <c r="B134" t="s">
        <v>2015</v>
      </c>
      <c r="C134" t="s">
        <v>274</v>
      </c>
      <c r="D134" t="s">
        <v>5</v>
      </c>
      <c r="E134" t="s">
        <v>1885</v>
      </c>
      <c r="F134" t="s">
        <v>2016</v>
      </c>
      <c r="G134" t="s">
        <v>275</v>
      </c>
      <c r="H134" t="s">
        <v>15</v>
      </c>
      <c r="I134" t="s">
        <v>8</v>
      </c>
      <c r="J134" t="s">
        <v>276</v>
      </c>
      <c r="K134" t="s">
        <v>1894</v>
      </c>
      <c r="L134" t="s">
        <v>1906</v>
      </c>
      <c r="M134" t="s">
        <v>17</v>
      </c>
      <c r="N134">
        <f>Main5[[#This Row],[Quantity]]*Main5[[#This Row],[Unit Price]]</f>
        <v>1435.9499999999998</v>
      </c>
      <c r="O134">
        <f>Main5[[#This Row],[Unit Price]]-Main5[[#This Row],[Unit Price]]*0.2</f>
        <v>382.91999999999996</v>
      </c>
      <c r="P134">
        <f>Main5[[#This Row],[Total Price]]-Main5[[#This Row],[Cost Price]]</f>
        <v>1053.0299999999997</v>
      </c>
      <c r="Q134" t="str">
        <f>TEXT(Main5[[#This Row],[Date]],"mmm")</f>
        <v>May</v>
      </c>
    </row>
    <row r="135" spans="1:17" x14ac:dyDescent="0.25">
      <c r="A135" t="s">
        <v>1473</v>
      </c>
      <c r="B135" t="s">
        <v>2605</v>
      </c>
      <c r="C135" t="s">
        <v>1474</v>
      </c>
      <c r="D135" t="s">
        <v>45</v>
      </c>
      <c r="E135" t="s">
        <v>1894</v>
      </c>
      <c r="F135" t="s">
        <v>2606</v>
      </c>
      <c r="G135" t="s">
        <v>1475</v>
      </c>
      <c r="H135" t="s">
        <v>47</v>
      </c>
      <c r="I135" t="s">
        <v>37</v>
      </c>
      <c r="J135" t="s">
        <v>1476</v>
      </c>
      <c r="K135" t="s">
        <v>1903</v>
      </c>
      <c r="L135" t="s">
        <v>1881</v>
      </c>
      <c r="M135" t="s">
        <v>32</v>
      </c>
      <c r="N135">
        <f>Main5[[#This Row],[Quantity]]*Main5[[#This Row],[Unit Price]]</f>
        <v>1435</v>
      </c>
      <c r="O135">
        <f>Main5[[#This Row],[Unit Price]]-Main5[[#This Row],[Unit Price]]*0.2</f>
        <v>287</v>
      </c>
      <c r="P135">
        <f>Main5[[#This Row],[Total Price]]-Main5[[#This Row],[Cost Price]]</f>
        <v>1148</v>
      </c>
      <c r="Q135" t="str">
        <f>TEXT(Main5[[#This Row],[Date]],"mmm")</f>
        <v>Jan</v>
      </c>
    </row>
    <row r="136" spans="1:17" x14ac:dyDescent="0.25">
      <c r="A136" t="s">
        <v>480</v>
      </c>
      <c r="B136" t="s">
        <v>2117</v>
      </c>
      <c r="C136" t="s">
        <v>481</v>
      </c>
      <c r="D136" t="s">
        <v>60</v>
      </c>
      <c r="E136" t="s">
        <v>1885</v>
      </c>
      <c r="F136" t="s">
        <v>2118</v>
      </c>
      <c r="G136" t="s">
        <v>482</v>
      </c>
      <c r="H136" t="s">
        <v>7</v>
      </c>
      <c r="I136" t="s">
        <v>8</v>
      </c>
      <c r="J136" t="s">
        <v>483</v>
      </c>
      <c r="K136" t="s">
        <v>1885</v>
      </c>
      <c r="L136" t="s">
        <v>1906</v>
      </c>
      <c r="M136" t="s">
        <v>63</v>
      </c>
      <c r="N136">
        <f>Main5[[#This Row],[Quantity]]*Main5[[#This Row],[Unit Price]]</f>
        <v>1407.96</v>
      </c>
      <c r="O136">
        <f>Main5[[#This Row],[Unit Price]]-Main5[[#This Row],[Unit Price]]*0.2</f>
        <v>375.45600000000002</v>
      </c>
      <c r="P136">
        <f>Main5[[#This Row],[Total Price]]-Main5[[#This Row],[Cost Price]]</f>
        <v>1032.5039999999999</v>
      </c>
      <c r="Q136" t="str">
        <f>TEXT(Main5[[#This Row],[Date]],"mmm")</f>
        <v>Aug</v>
      </c>
    </row>
    <row r="137" spans="1:17" x14ac:dyDescent="0.25">
      <c r="A137" t="s">
        <v>1756</v>
      </c>
      <c r="B137" t="s">
        <v>2751</v>
      </c>
      <c r="C137" t="s">
        <v>1757</v>
      </c>
      <c r="D137" t="s">
        <v>5</v>
      </c>
      <c r="E137" t="s">
        <v>1878</v>
      </c>
      <c r="F137" t="s">
        <v>2752</v>
      </c>
      <c r="G137" t="s">
        <v>1758</v>
      </c>
      <c r="H137" t="s">
        <v>22</v>
      </c>
      <c r="I137" t="s">
        <v>23</v>
      </c>
      <c r="J137" t="s">
        <v>1759</v>
      </c>
      <c r="K137" t="s">
        <v>1880</v>
      </c>
      <c r="L137" t="s">
        <v>1911</v>
      </c>
      <c r="M137" t="s">
        <v>32</v>
      </c>
      <c r="N137">
        <f>Main5[[#This Row],[Quantity]]*Main5[[#This Row],[Unit Price]]</f>
        <v>1402.6</v>
      </c>
      <c r="O137">
        <f>Main5[[#This Row],[Unit Price]]-Main5[[#This Row],[Unit Price]]*0.2</f>
        <v>224.416</v>
      </c>
      <c r="P137">
        <f>Main5[[#This Row],[Total Price]]-Main5[[#This Row],[Cost Price]]</f>
        <v>1178.184</v>
      </c>
      <c r="Q137" t="str">
        <f>TEXT(Main5[[#This Row],[Date]],"mmm")</f>
        <v>May</v>
      </c>
    </row>
    <row r="138" spans="1:17" x14ac:dyDescent="0.25">
      <c r="A138" t="s">
        <v>407</v>
      </c>
      <c r="B138" t="s">
        <v>2081</v>
      </c>
      <c r="C138" t="s">
        <v>408</v>
      </c>
      <c r="D138" t="s">
        <v>60</v>
      </c>
      <c r="E138" t="s">
        <v>1885</v>
      </c>
      <c r="F138" t="s">
        <v>2082</v>
      </c>
      <c r="G138" t="s">
        <v>409</v>
      </c>
      <c r="H138" t="s">
        <v>22</v>
      </c>
      <c r="I138" t="s">
        <v>23</v>
      </c>
      <c r="J138" t="s">
        <v>410</v>
      </c>
      <c r="K138" t="s">
        <v>1885</v>
      </c>
      <c r="L138" t="s">
        <v>1881</v>
      </c>
      <c r="M138" t="s">
        <v>25</v>
      </c>
      <c r="N138">
        <f>Main5[[#This Row],[Quantity]]*Main5[[#This Row],[Unit Price]]</f>
        <v>1395.15</v>
      </c>
      <c r="O138">
        <f>Main5[[#This Row],[Unit Price]]-Main5[[#This Row],[Unit Price]]*0.2</f>
        <v>372.04</v>
      </c>
      <c r="P138">
        <f>Main5[[#This Row],[Total Price]]-Main5[[#This Row],[Cost Price]]</f>
        <v>1023.1100000000001</v>
      </c>
      <c r="Q138" t="str">
        <f>TEXT(Main5[[#This Row],[Date]],"mmm")</f>
        <v>Sep</v>
      </c>
    </row>
    <row r="139" spans="1:17" x14ac:dyDescent="0.25">
      <c r="A139" t="s">
        <v>109</v>
      </c>
      <c r="B139" t="s">
        <v>1932</v>
      </c>
      <c r="C139" t="s">
        <v>110</v>
      </c>
      <c r="D139" t="s">
        <v>5</v>
      </c>
      <c r="E139" t="s">
        <v>1894</v>
      </c>
      <c r="F139" t="s">
        <v>1933</v>
      </c>
      <c r="G139" t="s">
        <v>111</v>
      </c>
      <c r="H139" t="s">
        <v>52</v>
      </c>
      <c r="I139" t="s">
        <v>37</v>
      </c>
      <c r="J139" t="s">
        <v>112</v>
      </c>
      <c r="K139" t="s">
        <v>1900</v>
      </c>
      <c r="L139" t="s">
        <v>1906</v>
      </c>
      <c r="M139" t="s">
        <v>63</v>
      </c>
      <c r="N139">
        <f>Main5[[#This Row],[Quantity]]*Main5[[#This Row],[Unit Price]]</f>
        <v>1371.8</v>
      </c>
      <c r="O139">
        <f>Main5[[#This Row],[Unit Price]]-Main5[[#This Row],[Unit Price]]*0.2</f>
        <v>274.36</v>
      </c>
      <c r="P139">
        <f>Main5[[#This Row],[Total Price]]-Main5[[#This Row],[Cost Price]]</f>
        <v>1097.44</v>
      </c>
      <c r="Q139" t="str">
        <f>TEXT(Main5[[#This Row],[Date]],"mmm")</f>
        <v>Nov</v>
      </c>
    </row>
    <row r="140" spans="1:17" x14ac:dyDescent="0.25">
      <c r="A140" t="s">
        <v>528</v>
      </c>
      <c r="B140" t="s">
        <v>2141</v>
      </c>
      <c r="C140" t="s">
        <v>529</v>
      </c>
      <c r="D140" t="s">
        <v>60</v>
      </c>
      <c r="E140" t="s">
        <v>1878</v>
      </c>
      <c r="F140" t="s">
        <v>2142</v>
      </c>
      <c r="G140" t="s">
        <v>530</v>
      </c>
      <c r="H140" t="s">
        <v>52</v>
      </c>
      <c r="I140" t="s">
        <v>75</v>
      </c>
      <c r="J140" t="s">
        <v>531</v>
      </c>
      <c r="K140" t="s">
        <v>1880</v>
      </c>
      <c r="L140" t="s">
        <v>1911</v>
      </c>
      <c r="M140" t="s">
        <v>25</v>
      </c>
      <c r="N140">
        <f>Main5[[#This Row],[Quantity]]*Main5[[#This Row],[Unit Price]]</f>
        <v>1363.85</v>
      </c>
      <c r="O140">
        <f>Main5[[#This Row],[Unit Price]]-Main5[[#This Row],[Unit Price]]*0.2</f>
        <v>218.21599999999998</v>
      </c>
      <c r="P140">
        <f>Main5[[#This Row],[Total Price]]-Main5[[#This Row],[Cost Price]]</f>
        <v>1145.634</v>
      </c>
      <c r="Q140" t="str">
        <f>TEXT(Main5[[#This Row],[Date]],"mmm")</f>
        <v>Sep</v>
      </c>
    </row>
    <row r="141" spans="1:17" x14ac:dyDescent="0.25">
      <c r="A141" t="s">
        <v>1538</v>
      </c>
      <c r="B141" t="s">
        <v>2637</v>
      </c>
      <c r="C141" t="s">
        <v>1539</v>
      </c>
      <c r="D141" t="s">
        <v>45</v>
      </c>
      <c r="E141" t="s">
        <v>1883</v>
      </c>
      <c r="F141" t="s">
        <v>2638</v>
      </c>
      <c r="G141" t="s">
        <v>1540</v>
      </c>
      <c r="H141" t="s">
        <v>7</v>
      </c>
      <c r="I141" t="s">
        <v>8</v>
      </c>
      <c r="J141" t="s">
        <v>1541</v>
      </c>
      <c r="K141" t="s">
        <v>1885</v>
      </c>
      <c r="L141" t="s">
        <v>1889</v>
      </c>
      <c r="M141" t="s">
        <v>32</v>
      </c>
      <c r="N141">
        <f>Main5[[#This Row],[Quantity]]*Main5[[#This Row],[Unit Price]]</f>
        <v>1362.12</v>
      </c>
      <c r="O141">
        <f>Main5[[#This Row],[Unit Price]]-Main5[[#This Row],[Unit Price]]*0.2</f>
        <v>544.84799999999996</v>
      </c>
      <c r="P141">
        <f>Main5[[#This Row],[Total Price]]-Main5[[#This Row],[Cost Price]]</f>
        <v>817.27199999999993</v>
      </c>
      <c r="Q141" t="str">
        <f>TEXT(Main5[[#This Row],[Date]],"mmm")</f>
        <v>Jan</v>
      </c>
    </row>
    <row r="142" spans="1:17" x14ac:dyDescent="0.25">
      <c r="A142" t="s">
        <v>1791</v>
      </c>
      <c r="B142" t="s">
        <v>2769</v>
      </c>
      <c r="C142" t="s">
        <v>1792</v>
      </c>
      <c r="D142" t="s">
        <v>28</v>
      </c>
      <c r="E142" t="s">
        <v>1883</v>
      </c>
      <c r="F142" t="s">
        <v>2770</v>
      </c>
      <c r="G142" t="s">
        <v>1793</v>
      </c>
      <c r="H142" t="s">
        <v>47</v>
      </c>
      <c r="I142" t="s">
        <v>37</v>
      </c>
      <c r="J142" t="s">
        <v>1794</v>
      </c>
      <c r="K142" t="s">
        <v>1900</v>
      </c>
      <c r="L142" t="s">
        <v>1889</v>
      </c>
      <c r="M142" t="s">
        <v>17</v>
      </c>
      <c r="N142">
        <f>Main5[[#This Row],[Quantity]]*Main5[[#This Row],[Unit Price]]</f>
        <v>1361.7</v>
      </c>
      <c r="O142">
        <f>Main5[[#This Row],[Unit Price]]-Main5[[#This Row],[Unit Price]]*0.2</f>
        <v>544.68000000000006</v>
      </c>
      <c r="P142">
        <f>Main5[[#This Row],[Total Price]]-Main5[[#This Row],[Cost Price]]</f>
        <v>817.02</v>
      </c>
      <c r="Q142" t="str">
        <f>TEXT(Main5[[#This Row],[Date]],"mmm")</f>
        <v>Aug</v>
      </c>
    </row>
    <row r="143" spans="1:17" x14ac:dyDescent="0.25">
      <c r="A143" t="s">
        <v>1746</v>
      </c>
      <c r="B143" t="s">
        <v>2745</v>
      </c>
      <c r="C143" t="s">
        <v>1747</v>
      </c>
      <c r="D143" t="s">
        <v>28</v>
      </c>
      <c r="E143" t="s">
        <v>1885</v>
      </c>
      <c r="F143" t="s">
        <v>2746</v>
      </c>
      <c r="G143" t="s">
        <v>580</v>
      </c>
      <c r="H143" t="s">
        <v>47</v>
      </c>
      <c r="I143" t="s">
        <v>8</v>
      </c>
      <c r="J143" t="s">
        <v>1748</v>
      </c>
      <c r="K143" t="s">
        <v>1885</v>
      </c>
      <c r="L143" t="s">
        <v>1889</v>
      </c>
      <c r="M143" t="s">
        <v>63</v>
      </c>
      <c r="N143">
        <f>Main5[[#This Row],[Quantity]]*Main5[[#This Row],[Unit Price]]</f>
        <v>1330.32</v>
      </c>
      <c r="O143">
        <f>Main5[[#This Row],[Unit Price]]-Main5[[#This Row],[Unit Price]]*0.2</f>
        <v>354.75200000000001</v>
      </c>
      <c r="P143">
        <f>Main5[[#This Row],[Total Price]]-Main5[[#This Row],[Cost Price]]</f>
        <v>975.56799999999998</v>
      </c>
      <c r="Q143" t="str">
        <f>TEXT(Main5[[#This Row],[Date]],"mmm")</f>
        <v>Oct</v>
      </c>
    </row>
    <row r="144" spans="1:17" x14ac:dyDescent="0.25">
      <c r="A144" t="s">
        <v>1870</v>
      </c>
      <c r="B144" t="s">
        <v>2813</v>
      </c>
      <c r="C144" t="s">
        <v>1871</v>
      </c>
      <c r="D144" t="s">
        <v>5</v>
      </c>
      <c r="E144" t="s">
        <v>1883</v>
      </c>
      <c r="F144" t="s">
        <v>2814</v>
      </c>
      <c r="G144" t="s">
        <v>1128</v>
      </c>
      <c r="H144" t="s">
        <v>15</v>
      </c>
      <c r="I144" t="s">
        <v>23</v>
      </c>
      <c r="J144" t="s">
        <v>1872</v>
      </c>
      <c r="K144" t="s">
        <v>1878</v>
      </c>
      <c r="L144" t="s">
        <v>1906</v>
      </c>
      <c r="M144" t="s">
        <v>32</v>
      </c>
      <c r="N144">
        <f>Main5[[#This Row],[Quantity]]*Main5[[#This Row],[Unit Price]]</f>
        <v>1325.06</v>
      </c>
      <c r="O144">
        <f>Main5[[#This Row],[Unit Price]]-Main5[[#This Row],[Unit Price]]*0.2</f>
        <v>530.024</v>
      </c>
      <c r="P144">
        <f>Main5[[#This Row],[Total Price]]-Main5[[#This Row],[Cost Price]]</f>
        <v>795.03599999999994</v>
      </c>
      <c r="Q144" t="str">
        <f>TEXT(Main5[[#This Row],[Date]],"mmm")</f>
        <v>Mar</v>
      </c>
    </row>
    <row r="145" spans="1:17" x14ac:dyDescent="0.25">
      <c r="A145" t="s">
        <v>1677</v>
      </c>
      <c r="B145" t="s">
        <v>2709</v>
      </c>
      <c r="C145" t="s">
        <v>1678</v>
      </c>
      <c r="D145" t="s">
        <v>28</v>
      </c>
      <c r="E145" t="s">
        <v>1878</v>
      </c>
      <c r="F145" t="s">
        <v>2710</v>
      </c>
      <c r="G145" t="s">
        <v>1413</v>
      </c>
      <c r="H145" t="s">
        <v>22</v>
      </c>
      <c r="I145" t="s">
        <v>30</v>
      </c>
      <c r="J145" t="s">
        <v>1679</v>
      </c>
      <c r="K145" t="s">
        <v>1878</v>
      </c>
      <c r="L145" t="s">
        <v>1881</v>
      </c>
      <c r="M145" t="s">
        <v>17</v>
      </c>
      <c r="N145">
        <f>Main5[[#This Row],[Quantity]]*Main5[[#This Row],[Unit Price]]</f>
        <v>1306.6499999999999</v>
      </c>
      <c r="O145">
        <f>Main5[[#This Row],[Unit Price]]-Main5[[#This Row],[Unit Price]]*0.2</f>
        <v>209.06399999999999</v>
      </c>
      <c r="P145">
        <f>Main5[[#This Row],[Total Price]]-Main5[[#This Row],[Cost Price]]</f>
        <v>1097.5859999999998</v>
      </c>
      <c r="Q145" t="str">
        <f>TEXT(Main5[[#This Row],[Date]],"mmm")</f>
        <v>Aug</v>
      </c>
    </row>
    <row r="146" spans="1:17" x14ac:dyDescent="0.25">
      <c r="A146" t="s">
        <v>1784</v>
      </c>
      <c r="B146" t="s">
        <v>2765</v>
      </c>
      <c r="C146" t="s">
        <v>1785</v>
      </c>
      <c r="D146" t="s">
        <v>35</v>
      </c>
      <c r="E146" t="s">
        <v>1878</v>
      </c>
      <c r="F146" t="s">
        <v>2766</v>
      </c>
      <c r="G146" t="s">
        <v>1786</v>
      </c>
      <c r="H146" t="s">
        <v>15</v>
      </c>
      <c r="I146" t="s">
        <v>37</v>
      </c>
      <c r="J146" t="s">
        <v>1787</v>
      </c>
      <c r="K146" t="s">
        <v>1903</v>
      </c>
      <c r="L146" t="s">
        <v>1881</v>
      </c>
      <c r="M146" t="s">
        <v>25</v>
      </c>
      <c r="N146">
        <f>Main5[[#This Row],[Quantity]]*Main5[[#This Row],[Unit Price]]</f>
        <v>1304.6500000000001</v>
      </c>
      <c r="O146">
        <f>Main5[[#This Row],[Unit Price]]-Main5[[#This Row],[Unit Price]]*0.2</f>
        <v>208.744</v>
      </c>
      <c r="P146">
        <f>Main5[[#This Row],[Total Price]]-Main5[[#This Row],[Cost Price]]</f>
        <v>1095.9060000000002</v>
      </c>
      <c r="Q146" t="str">
        <f>TEXT(Main5[[#This Row],[Date]],"mmm")</f>
        <v>Jun</v>
      </c>
    </row>
    <row r="147" spans="1:17" x14ac:dyDescent="0.25">
      <c r="A147" t="s">
        <v>281</v>
      </c>
      <c r="B147" t="s">
        <v>2019</v>
      </c>
      <c r="C147" t="s">
        <v>282</v>
      </c>
      <c r="D147" t="s">
        <v>5</v>
      </c>
      <c r="E147" t="s">
        <v>1885</v>
      </c>
      <c r="F147" t="s">
        <v>2020</v>
      </c>
      <c r="G147" t="s">
        <v>283</v>
      </c>
      <c r="H147" t="s">
        <v>22</v>
      </c>
      <c r="I147" t="s">
        <v>75</v>
      </c>
      <c r="J147" t="s">
        <v>284</v>
      </c>
      <c r="K147" t="s">
        <v>1894</v>
      </c>
      <c r="L147" t="s">
        <v>1906</v>
      </c>
      <c r="M147" t="s">
        <v>17</v>
      </c>
      <c r="N147">
        <f>Main5[[#This Row],[Quantity]]*Main5[[#This Row],[Unit Price]]</f>
        <v>1303.3499999999999</v>
      </c>
      <c r="O147">
        <f>Main5[[#This Row],[Unit Price]]-Main5[[#This Row],[Unit Price]]*0.2</f>
        <v>347.56</v>
      </c>
      <c r="P147">
        <f>Main5[[#This Row],[Total Price]]-Main5[[#This Row],[Cost Price]]</f>
        <v>955.79</v>
      </c>
      <c r="Q147" t="str">
        <f>TEXT(Main5[[#This Row],[Date]],"mmm")</f>
        <v>Jun</v>
      </c>
    </row>
    <row r="148" spans="1:17" x14ac:dyDescent="0.25">
      <c r="A148" t="s">
        <v>1554</v>
      </c>
      <c r="B148" t="s">
        <v>2645</v>
      </c>
      <c r="C148" t="s">
        <v>1555</v>
      </c>
      <c r="D148" t="s">
        <v>60</v>
      </c>
      <c r="E148" t="s">
        <v>1894</v>
      </c>
      <c r="F148" t="s">
        <v>2646</v>
      </c>
      <c r="G148" t="s">
        <v>1556</v>
      </c>
      <c r="H148" t="s">
        <v>47</v>
      </c>
      <c r="I148" t="s">
        <v>8</v>
      </c>
      <c r="J148" t="s">
        <v>1557</v>
      </c>
      <c r="K148" t="s">
        <v>1888</v>
      </c>
      <c r="L148" t="s">
        <v>1911</v>
      </c>
      <c r="M148" t="s">
        <v>25</v>
      </c>
      <c r="N148">
        <f>Main5[[#This Row],[Quantity]]*Main5[[#This Row],[Unit Price]]</f>
        <v>1303.04</v>
      </c>
      <c r="O148">
        <f>Main5[[#This Row],[Unit Price]]-Main5[[#This Row],[Unit Price]]*0.2</f>
        <v>260.608</v>
      </c>
      <c r="P148">
        <f>Main5[[#This Row],[Total Price]]-Main5[[#This Row],[Cost Price]]</f>
        <v>1042.432</v>
      </c>
      <c r="Q148" t="str">
        <f>TEXT(Main5[[#This Row],[Date]],"mmm")</f>
        <v>Jul</v>
      </c>
    </row>
    <row r="149" spans="1:17" x14ac:dyDescent="0.25">
      <c r="A149" t="s">
        <v>1003</v>
      </c>
      <c r="B149" t="s">
        <v>2374</v>
      </c>
      <c r="C149" t="s">
        <v>1004</v>
      </c>
      <c r="D149" t="s">
        <v>60</v>
      </c>
      <c r="E149" t="s">
        <v>1878</v>
      </c>
      <c r="F149" t="s">
        <v>2375</v>
      </c>
      <c r="G149" t="s">
        <v>1005</v>
      </c>
      <c r="H149" t="s">
        <v>47</v>
      </c>
      <c r="I149" t="s">
        <v>75</v>
      </c>
      <c r="J149" t="s">
        <v>1006</v>
      </c>
      <c r="K149" t="s">
        <v>1878</v>
      </c>
      <c r="L149" t="s">
        <v>1881</v>
      </c>
      <c r="M149" t="s">
        <v>10</v>
      </c>
      <c r="N149">
        <f>Main5[[#This Row],[Quantity]]*Main5[[#This Row],[Unit Price]]</f>
        <v>1302.6499999999999</v>
      </c>
      <c r="O149">
        <f>Main5[[#This Row],[Unit Price]]-Main5[[#This Row],[Unit Price]]*0.2</f>
        <v>208.42399999999998</v>
      </c>
      <c r="P149">
        <f>Main5[[#This Row],[Total Price]]-Main5[[#This Row],[Cost Price]]</f>
        <v>1094.2259999999999</v>
      </c>
      <c r="Q149" t="str">
        <f>TEXT(Main5[[#This Row],[Date]],"mmm")</f>
        <v>Jun</v>
      </c>
    </row>
    <row r="150" spans="1:17" x14ac:dyDescent="0.25">
      <c r="A150" t="s">
        <v>1070</v>
      </c>
      <c r="B150" t="s">
        <v>2406</v>
      </c>
      <c r="C150" t="s">
        <v>1071</v>
      </c>
      <c r="D150" t="s">
        <v>20</v>
      </c>
      <c r="E150" t="s">
        <v>1885</v>
      </c>
      <c r="F150" t="s">
        <v>2407</v>
      </c>
      <c r="G150" t="s">
        <v>1072</v>
      </c>
      <c r="H150" t="s">
        <v>22</v>
      </c>
      <c r="I150" t="s">
        <v>23</v>
      </c>
      <c r="J150" t="s">
        <v>1073</v>
      </c>
      <c r="K150" t="s">
        <v>1894</v>
      </c>
      <c r="L150" t="s">
        <v>1889</v>
      </c>
      <c r="M150" t="s">
        <v>17</v>
      </c>
      <c r="N150">
        <f>Main5[[#This Row],[Quantity]]*Main5[[#This Row],[Unit Price]]</f>
        <v>1299.99</v>
      </c>
      <c r="O150">
        <f>Main5[[#This Row],[Unit Price]]-Main5[[#This Row],[Unit Price]]*0.2</f>
        <v>346.66399999999999</v>
      </c>
      <c r="P150">
        <f>Main5[[#This Row],[Total Price]]-Main5[[#This Row],[Cost Price]]</f>
        <v>953.32600000000002</v>
      </c>
      <c r="Q150" t="str">
        <f>TEXT(Main5[[#This Row],[Date]],"mmm")</f>
        <v>Jun</v>
      </c>
    </row>
    <row r="151" spans="1:17" x14ac:dyDescent="0.25">
      <c r="A151" t="s">
        <v>1666</v>
      </c>
      <c r="B151" t="s">
        <v>2703</v>
      </c>
      <c r="C151" t="s">
        <v>1667</v>
      </c>
      <c r="D151" t="s">
        <v>60</v>
      </c>
      <c r="E151" t="s">
        <v>1885</v>
      </c>
      <c r="F151" t="s">
        <v>2704</v>
      </c>
      <c r="G151" t="s">
        <v>1668</v>
      </c>
      <c r="H151" t="s">
        <v>47</v>
      </c>
      <c r="I151" t="s">
        <v>23</v>
      </c>
      <c r="J151" t="s">
        <v>1669</v>
      </c>
      <c r="K151" t="s">
        <v>1888</v>
      </c>
      <c r="L151" t="s">
        <v>1889</v>
      </c>
      <c r="M151" t="s">
        <v>10</v>
      </c>
      <c r="N151">
        <f>Main5[[#This Row],[Quantity]]*Main5[[#This Row],[Unit Price]]</f>
        <v>1290.18</v>
      </c>
      <c r="O151">
        <f>Main5[[#This Row],[Unit Price]]-Main5[[#This Row],[Unit Price]]*0.2</f>
        <v>344.048</v>
      </c>
      <c r="P151">
        <f>Main5[[#This Row],[Total Price]]-Main5[[#This Row],[Cost Price]]</f>
        <v>946.13200000000006</v>
      </c>
      <c r="Q151" t="str">
        <f>TEXT(Main5[[#This Row],[Date]],"mmm")</f>
        <v>May</v>
      </c>
    </row>
    <row r="152" spans="1:17" x14ac:dyDescent="0.25">
      <c r="A152" t="s">
        <v>721</v>
      </c>
      <c r="B152" t="s">
        <v>2235</v>
      </c>
      <c r="C152" t="s">
        <v>722</v>
      </c>
      <c r="D152" t="s">
        <v>60</v>
      </c>
      <c r="E152" t="s">
        <v>1894</v>
      </c>
      <c r="F152" t="s">
        <v>2236</v>
      </c>
      <c r="G152" t="s">
        <v>723</v>
      </c>
      <c r="H152" t="s">
        <v>52</v>
      </c>
      <c r="I152" t="s">
        <v>30</v>
      </c>
      <c r="J152" t="s">
        <v>724</v>
      </c>
      <c r="K152" t="s">
        <v>1903</v>
      </c>
      <c r="L152" t="s">
        <v>1906</v>
      </c>
      <c r="M152" t="s">
        <v>63</v>
      </c>
      <c r="N152">
        <f>Main5[[#This Row],[Quantity]]*Main5[[#This Row],[Unit Price]]</f>
        <v>1286.04</v>
      </c>
      <c r="O152">
        <f>Main5[[#This Row],[Unit Price]]-Main5[[#This Row],[Unit Price]]*0.2</f>
        <v>257.20799999999997</v>
      </c>
      <c r="P152">
        <f>Main5[[#This Row],[Total Price]]-Main5[[#This Row],[Cost Price]]</f>
        <v>1028.8319999999999</v>
      </c>
      <c r="Q152" t="str">
        <f>TEXT(Main5[[#This Row],[Date]],"mmm")</f>
        <v>May</v>
      </c>
    </row>
    <row r="153" spans="1:17" x14ac:dyDescent="0.25">
      <c r="A153" t="s">
        <v>1466</v>
      </c>
      <c r="B153" t="s">
        <v>2601</v>
      </c>
      <c r="C153" t="s">
        <v>1467</v>
      </c>
      <c r="D153" t="s">
        <v>13</v>
      </c>
      <c r="E153" t="s">
        <v>1883</v>
      </c>
      <c r="F153" t="s">
        <v>2602</v>
      </c>
      <c r="G153" t="s">
        <v>1348</v>
      </c>
      <c r="H153" t="s">
        <v>47</v>
      </c>
      <c r="I153" t="s">
        <v>37</v>
      </c>
      <c r="J153" t="s">
        <v>1468</v>
      </c>
      <c r="K153" t="s">
        <v>1894</v>
      </c>
      <c r="L153" t="s">
        <v>1911</v>
      </c>
      <c r="M153" t="s">
        <v>25</v>
      </c>
      <c r="N153">
        <f>Main5[[#This Row],[Quantity]]*Main5[[#This Row],[Unit Price]]</f>
        <v>1284.08</v>
      </c>
      <c r="O153">
        <f>Main5[[#This Row],[Unit Price]]-Main5[[#This Row],[Unit Price]]*0.2</f>
        <v>513.63199999999995</v>
      </c>
      <c r="P153">
        <f>Main5[[#This Row],[Total Price]]-Main5[[#This Row],[Cost Price]]</f>
        <v>770.44799999999998</v>
      </c>
      <c r="Q153" t="str">
        <f>TEXT(Main5[[#This Row],[Date]],"mmm")</f>
        <v>Oct</v>
      </c>
    </row>
    <row r="154" spans="1:17" x14ac:dyDescent="0.25">
      <c r="A154" t="s">
        <v>1656</v>
      </c>
      <c r="B154" t="s">
        <v>2697</v>
      </c>
      <c r="C154" t="s">
        <v>1657</v>
      </c>
      <c r="D154" t="s">
        <v>20</v>
      </c>
      <c r="E154" t="s">
        <v>1883</v>
      </c>
      <c r="F154" t="s">
        <v>2698</v>
      </c>
      <c r="G154" t="s">
        <v>720</v>
      </c>
      <c r="H154" t="s">
        <v>52</v>
      </c>
      <c r="I154" t="s">
        <v>37</v>
      </c>
      <c r="J154" t="s">
        <v>1658</v>
      </c>
      <c r="K154" t="s">
        <v>1878</v>
      </c>
      <c r="L154" t="s">
        <v>1911</v>
      </c>
      <c r="M154" t="s">
        <v>10</v>
      </c>
      <c r="N154">
        <f>Main5[[#This Row],[Quantity]]*Main5[[#This Row],[Unit Price]]</f>
        <v>1279.76</v>
      </c>
      <c r="O154">
        <f>Main5[[#This Row],[Unit Price]]-Main5[[#This Row],[Unit Price]]*0.2</f>
        <v>511.904</v>
      </c>
      <c r="P154">
        <f>Main5[[#This Row],[Total Price]]-Main5[[#This Row],[Cost Price]]</f>
        <v>767.85599999999999</v>
      </c>
      <c r="Q154" t="str">
        <f>TEXT(Main5[[#This Row],[Date]],"mmm")</f>
        <v>May</v>
      </c>
    </row>
    <row r="155" spans="1:17" x14ac:dyDescent="0.25">
      <c r="A155" t="s">
        <v>137</v>
      </c>
      <c r="B155" t="s">
        <v>1946</v>
      </c>
      <c r="C155" t="s">
        <v>138</v>
      </c>
      <c r="D155" t="s">
        <v>60</v>
      </c>
      <c r="E155" t="s">
        <v>1885</v>
      </c>
      <c r="F155" t="s">
        <v>1947</v>
      </c>
      <c r="G155" t="s">
        <v>139</v>
      </c>
      <c r="H155" t="s">
        <v>22</v>
      </c>
      <c r="I155" t="s">
        <v>37</v>
      </c>
      <c r="J155" t="s">
        <v>140</v>
      </c>
      <c r="K155" t="s">
        <v>1900</v>
      </c>
      <c r="L155" t="s">
        <v>1881</v>
      </c>
      <c r="M155" t="s">
        <v>17</v>
      </c>
      <c r="N155">
        <f>Main5[[#This Row],[Quantity]]*Main5[[#This Row],[Unit Price]]</f>
        <v>1270.5899999999999</v>
      </c>
      <c r="O155">
        <f>Main5[[#This Row],[Unit Price]]-Main5[[#This Row],[Unit Price]]*0.2</f>
        <v>338.82399999999996</v>
      </c>
      <c r="P155">
        <f>Main5[[#This Row],[Total Price]]-Main5[[#This Row],[Cost Price]]</f>
        <v>931.76599999999996</v>
      </c>
      <c r="Q155" t="str">
        <f>TEXT(Main5[[#This Row],[Date]],"mmm")</f>
        <v>Sep</v>
      </c>
    </row>
    <row r="156" spans="1:17" x14ac:dyDescent="0.25">
      <c r="A156" t="s">
        <v>1446</v>
      </c>
      <c r="B156" t="s">
        <v>2591</v>
      </c>
      <c r="C156" t="s">
        <v>1447</v>
      </c>
      <c r="D156" t="s">
        <v>5</v>
      </c>
      <c r="E156" t="s">
        <v>1878</v>
      </c>
      <c r="F156" t="s">
        <v>2592</v>
      </c>
      <c r="G156" t="s">
        <v>1448</v>
      </c>
      <c r="H156" t="s">
        <v>7</v>
      </c>
      <c r="I156" t="s">
        <v>23</v>
      </c>
      <c r="J156" t="s">
        <v>1449</v>
      </c>
      <c r="K156" t="s">
        <v>1954</v>
      </c>
      <c r="L156" t="s">
        <v>1906</v>
      </c>
      <c r="M156" t="s">
        <v>10</v>
      </c>
      <c r="N156">
        <f>Main5[[#This Row],[Quantity]]*Main5[[#This Row],[Unit Price]]</f>
        <v>1244.2</v>
      </c>
      <c r="O156">
        <f>Main5[[#This Row],[Unit Price]]-Main5[[#This Row],[Unit Price]]*0.2</f>
        <v>199.072</v>
      </c>
      <c r="P156">
        <f>Main5[[#This Row],[Total Price]]-Main5[[#This Row],[Cost Price]]</f>
        <v>1045.1280000000002</v>
      </c>
      <c r="Q156" t="str">
        <f>TEXT(Main5[[#This Row],[Date]],"mmm")</f>
        <v>Jun</v>
      </c>
    </row>
    <row r="157" spans="1:17" x14ac:dyDescent="0.25">
      <c r="A157" t="s">
        <v>866</v>
      </c>
      <c r="B157" t="s">
        <v>2308</v>
      </c>
      <c r="C157" t="s">
        <v>867</v>
      </c>
      <c r="D157" t="s">
        <v>35</v>
      </c>
      <c r="E157" t="s">
        <v>1894</v>
      </c>
      <c r="F157" t="s">
        <v>2309</v>
      </c>
      <c r="G157" t="s">
        <v>868</v>
      </c>
      <c r="H157" t="s">
        <v>7</v>
      </c>
      <c r="I157" t="s">
        <v>8</v>
      </c>
      <c r="J157" t="s">
        <v>869</v>
      </c>
      <c r="K157" t="s">
        <v>1878</v>
      </c>
      <c r="L157" t="s">
        <v>1911</v>
      </c>
      <c r="M157" t="s">
        <v>63</v>
      </c>
      <c r="N157">
        <f>Main5[[#This Row],[Quantity]]*Main5[[#This Row],[Unit Price]]</f>
        <v>1239.6400000000001</v>
      </c>
      <c r="O157">
        <f>Main5[[#This Row],[Unit Price]]-Main5[[#This Row],[Unit Price]]*0.2</f>
        <v>247.92800000000003</v>
      </c>
      <c r="P157">
        <f>Main5[[#This Row],[Total Price]]-Main5[[#This Row],[Cost Price]]</f>
        <v>991.7120000000001</v>
      </c>
      <c r="Q157" t="str">
        <f>TEXT(Main5[[#This Row],[Date]],"mmm")</f>
        <v>Jun</v>
      </c>
    </row>
    <row r="158" spans="1:17" x14ac:dyDescent="0.25">
      <c r="A158" t="s">
        <v>1154</v>
      </c>
      <c r="B158" t="s">
        <v>2447</v>
      </c>
      <c r="C158" t="s">
        <v>1155</v>
      </c>
      <c r="D158" t="s">
        <v>35</v>
      </c>
      <c r="E158" t="s">
        <v>1885</v>
      </c>
      <c r="F158" t="s">
        <v>2448</v>
      </c>
      <c r="G158" t="s">
        <v>1156</v>
      </c>
      <c r="H158" t="s">
        <v>15</v>
      </c>
      <c r="I158" t="s">
        <v>75</v>
      </c>
      <c r="J158" t="s">
        <v>1157</v>
      </c>
      <c r="K158" t="s">
        <v>1900</v>
      </c>
      <c r="L158" t="s">
        <v>1911</v>
      </c>
      <c r="M158" t="s">
        <v>63</v>
      </c>
      <c r="N158">
        <f>Main5[[#This Row],[Quantity]]*Main5[[#This Row],[Unit Price]]</f>
        <v>1237.5899999999999</v>
      </c>
      <c r="O158">
        <f>Main5[[#This Row],[Unit Price]]-Main5[[#This Row],[Unit Price]]*0.2</f>
        <v>330.024</v>
      </c>
      <c r="P158">
        <f>Main5[[#This Row],[Total Price]]-Main5[[#This Row],[Cost Price]]</f>
        <v>907.56599999999992</v>
      </c>
      <c r="Q158" t="str">
        <f>TEXT(Main5[[#This Row],[Date]],"mmm")</f>
        <v>Jan</v>
      </c>
    </row>
    <row r="159" spans="1:17" x14ac:dyDescent="0.25">
      <c r="A159" t="s">
        <v>1788</v>
      </c>
      <c r="B159" t="s">
        <v>2767</v>
      </c>
      <c r="C159" t="s">
        <v>1789</v>
      </c>
      <c r="D159" t="s">
        <v>5</v>
      </c>
      <c r="E159" t="s">
        <v>1885</v>
      </c>
      <c r="F159" t="s">
        <v>2768</v>
      </c>
      <c r="G159" t="s">
        <v>1611</v>
      </c>
      <c r="H159" t="s">
        <v>52</v>
      </c>
      <c r="I159" t="s">
        <v>37</v>
      </c>
      <c r="J159" t="s">
        <v>1790</v>
      </c>
      <c r="K159" t="s">
        <v>1888</v>
      </c>
      <c r="L159" t="s">
        <v>1889</v>
      </c>
      <c r="M159" t="s">
        <v>10</v>
      </c>
      <c r="N159">
        <f>Main5[[#This Row],[Quantity]]*Main5[[#This Row],[Unit Price]]</f>
        <v>1232.6399999999999</v>
      </c>
      <c r="O159">
        <f>Main5[[#This Row],[Unit Price]]-Main5[[#This Row],[Unit Price]]*0.2</f>
        <v>328.70400000000001</v>
      </c>
      <c r="P159">
        <f>Main5[[#This Row],[Total Price]]-Main5[[#This Row],[Cost Price]]</f>
        <v>903.93599999999992</v>
      </c>
      <c r="Q159" t="str">
        <f>TEXT(Main5[[#This Row],[Date]],"mmm")</f>
        <v>Jan</v>
      </c>
    </row>
    <row r="160" spans="1:17" x14ac:dyDescent="0.25">
      <c r="A160" t="s">
        <v>1450</v>
      </c>
      <c r="B160" t="s">
        <v>2593</v>
      </c>
      <c r="C160" t="s">
        <v>1451</v>
      </c>
      <c r="D160" t="s">
        <v>28</v>
      </c>
      <c r="E160" t="s">
        <v>1894</v>
      </c>
      <c r="F160" t="s">
        <v>2594</v>
      </c>
      <c r="G160" t="s">
        <v>1452</v>
      </c>
      <c r="H160" t="s">
        <v>47</v>
      </c>
      <c r="I160" t="s">
        <v>8</v>
      </c>
      <c r="J160" t="s">
        <v>1453</v>
      </c>
      <c r="K160" t="s">
        <v>1880</v>
      </c>
      <c r="L160" t="s">
        <v>1911</v>
      </c>
      <c r="M160" t="s">
        <v>17</v>
      </c>
      <c r="N160">
        <f>Main5[[#This Row],[Quantity]]*Main5[[#This Row],[Unit Price]]</f>
        <v>1225.4000000000001</v>
      </c>
      <c r="O160">
        <f>Main5[[#This Row],[Unit Price]]-Main5[[#This Row],[Unit Price]]*0.2</f>
        <v>245.08</v>
      </c>
      <c r="P160">
        <f>Main5[[#This Row],[Total Price]]-Main5[[#This Row],[Cost Price]]</f>
        <v>980.32</v>
      </c>
      <c r="Q160" t="str">
        <f>TEXT(Main5[[#This Row],[Date]],"mmm")</f>
        <v>Sep</v>
      </c>
    </row>
    <row r="161" spans="1:17" x14ac:dyDescent="0.25">
      <c r="A161" t="s">
        <v>1275</v>
      </c>
      <c r="B161" t="s">
        <v>2505</v>
      </c>
      <c r="C161" t="s">
        <v>1276</v>
      </c>
      <c r="D161" t="s">
        <v>28</v>
      </c>
      <c r="E161" t="s">
        <v>1885</v>
      </c>
      <c r="F161" t="s">
        <v>2506</v>
      </c>
      <c r="G161" t="s">
        <v>1277</v>
      </c>
      <c r="H161" t="s">
        <v>52</v>
      </c>
      <c r="I161" t="s">
        <v>8</v>
      </c>
      <c r="J161" t="s">
        <v>1278</v>
      </c>
      <c r="K161" t="s">
        <v>1900</v>
      </c>
      <c r="L161" t="s">
        <v>1881</v>
      </c>
      <c r="M161" t="s">
        <v>10</v>
      </c>
      <c r="N161">
        <f>Main5[[#This Row],[Quantity]]*Main5[[#This Row],[Unit Price]]</f>
        <v>1214.3700000000001</v>
      </c>
      <c r="O161">
        <f>Main5[[#This Row],[Unit Price]]-Main5[[#This Row],[Unit Price]]*0.2</f>
        <v>323.83199999999999</v>
      </c>
      <c r="P161">
        <f>Main5[[#This Row],[Total Price]]-Main5[[#This Row],[Cost Price]]</f>
        <v>890.53800000000012</v>
      </c>
      <c r="Q161" t="str">
        <f>TEXT(Main5[[#This Row],[Date]],"mmm")</f>
        <v>Aug</v>
      </c>
    </row>
    <row r="162" spans="1:17" x14ac:dyDescent="0.25">
      <c r="A162" t="s">
        <v>500</v>
      </c>
      <c r="B162" t="s">
        <v>2127</v>
      </c>
      <c r="C162" t="s">
        <v>501</v>
      </c>
      <c r="D162" t="s">
        <v>28</v>
      </c>
      <c r="E162" t="s">
        <v>1894</v>
      </c>
      <c r="F162" t="s">
        <v>2128</v>
      </c>
      <c r="G162" t="s">
        <v>502</v>
      </c>
      <c r="H162" t="s">
        <v>7</v>
      </c>
      <c r="I162" t="s">
        <v>23</v>
      </c>
      <c r="J162" t="s">
        <v>503</v>
      </c>
      <c r="K162" t="s">
        <v>1900</v>
      </c>
      <c r="L162" t="s">
        <v>1881</v>
      </c>
      <c r="M162" t="s">
        <v>63</v>
      </c>
      <c r="N162">
        <f>Main5[[#This Row],[Quantity]]*Main5[[#This Row],[Unit Price]]</f>
        <v>1208.2</v>
      </c>
      <c r="O162">
        <f>Main5[[#This Row],[Unit Price]]-Main5[[#This Row],[Unit Price]]*0.2</f>
        <v>241.64000000000001</v>
      </c>
      <c r="P162">
        <f>Main5[[#This Row],[Total Price]]-Main5[[#This Row],[Cost Price]]</f>
        <v>966.56000000000006</v>
      </c>
      <c r="Q162" t="str">
        <f>TEXT(Main5[[#This Row],[Date]],"mmm")</f>
        <v>Jun</v>
      </c>
    </row>
    <row r="163" spans="1:17" x14ac:dyDescent="0.25">
      <c r="A163" t="s">
        <v>887</v>
      </c>
      <c r="B163" t="s">
        <v>2318</v>
      </c>
      <c r="C163" t="s">
        <v>888</v>
      </c>
      <c r="D163" t="s">
        <v>35</v>
      </c>
      <c r="E163" t="s">
        <v>1883</v>
      </c>
      <c r="F163" t="s">
        <v>2319</v>
      </c>
      <c r="G163" t="s">
        <v>889</v>
      </c>
      <c r="H163" t="s">
        <v>7</v>
      </c>
      <c r="I163" t="s">
        <v>30</v>
      </c>
      <c r="J163" t="s">
        <v>890</v>
      </c>
      <c r="K163" t="s">
        <v>1885</v>
      </c>
      <c r="L163" t="s">
        <v>1911</v>
      </c>
      <c r="M163" t="s">
        <v>10</v>
      </c>
      <c r="N163">
        <f>Main5[[#This Row],[Quantity]]*Main5[[#This Row],[Unit Price]]</f>
        <v>1201.1400000000001</v>
      </c>
      <c r="O163">
        <f>Main5[[#This Row],[Unit Price]]-Main5[[#This Row],[Unit Price]]*0.2</f>
        <v>480.45600000000002</v>
      </c>
      <c r="P163">
        <f>Main5[[#This Row],[Total Price]]-Main5[[#This Row],[Cost Price]]</f>
        <v>720.68400000000008</v>
      </c>
      <c r="Q163" t="str">
        <f>TEXT(Main5[[#This Row],[Date]],"mmm")</f>
        <v>Mar</v>
      </c>
    </row>
    <row r="164" spans="1:17" x14ac:dyDescent="0.25">
      <c r="A164" t="s">
        <v>293</v>
      </c>
      <c r="B164" t="s">
        <v>2025</v>
      </c>
      <c r="C164" t="s">
        <v>294</v>
      </c>
      <c r="D164" t="s">
        <v>20</v>
      </c>
      <c r="E164" t="s">
        <v>1885</v>
      </c>
      <c r="F164" t="s">
        <v>2026</v>
      </c>
      <c r="G164" t="s">
        <v>295</v>
      </c>
      <c r="H164" t="s">
        <v>7</v>
      </c>
      <c r="I164" t="s">
        <v>37</v>
      </c>
      <c r="J164" t="s">
        <v>296</v>
      </c>
      <c r="K164" t="s">
        <v>1878</v>
      </c>
      <c r="L164" t="s">
        <v>1881</v>
      </c>
      <c r="M164" t="s">
        <v>25</v>
      </c>
      <c r="N164">
        <f>Main5[[#This Row],[Quantity]]*Main5[[#This Row],[Unit Price]]</f>
        <v>1194.51</v>
      </c>
      <c r="O164">
        <f>Main5[[#This Row],[Unit Price]]-Main5[[#This Row],[Unit Price]]*0.2</f>
        <v>318.536</v>
      </c>
      <c r="P164">
        <f>Main5[[#This Row],[Total Price]]-Main5[[#This Row],[Cost Price]]</f>
        <v>875.97399999999993</v>
      </c>
      <c r="Q164" t="str">
        <f>TEXT(Main5[[#This Row],[Date]],"mmm")</f>
        <v>Sep</v>
      </c>
    </row>
    <row r="165" spans="1:17" x14ac:dyDescent="0.25">
      <c r="A165" t="s">
        <v>443</v>
      </c>
      <c r="B165" t="s">
        <v>2099</v>
      </c>
      <c r="C165" t="s">
        <v>444</v>
      </c>
      <c r="D165" t="s">
        <v>35</v>
      </c>
      <c r="E165" t="s">
        <v>1894</v>
      </c>
      <c r="F165" t="s">
        <v>2100</v>
      </c>
      <c r="G165" t="s">
        <v>445</v>
      </c>
      <c r="H165" t="s">
        <v>22</v>
      </c>
      <c r="I165" t="s">
        <v>23</v>
      </c>
      <c r="J165" t="s">
        <v>446</v>
      </c>
      <c r="K165" t="s">
        <v>1900</v>
      </c>
      <c r="L165" t="s">
        <v>1911</v>
      </c>
      <c r="M165" t="s">
        <v>32</v>
      </c>
      <c r="N165">
        <f>Main5[[#This Row],[Quantity]]*Main5[[#This Row],[Unit Price]]</f>
        <v>1165.4000000000001</v>
      </c>
      <c r="O165">
        <f>Main5[[#This Row],[Unit Price]]-Main5[[#This Row],[Unit Price]]*0.2</f>
        <v>233.08</v>
      </c>
      <c r="P165">
        <f>Main5[[#This Row],[Total Price]]-Main5[[#This Row],[Cost Price]]</f>
        <v>932.32</v>
      </c>
      <c r="Q165" t="str">
        <f>TEXT(Main5[[#This Row],[Date]],"mmm")</f>
        <v>Mar</v>
      </c>
    </row>
    <row r="166" spans="1:17" x14ac:dyDescent="0.25">
      <c r="A166" t="s">
        <v>988</v>
      </c>
      <c r="B166" t="s">
        <v>2366</v>
      </c>
      <c r="C166" t="s">
        <v>989</v>
      </c>
      <c r="D166" t="s">
        <v>13</v>
      </c>
      <c r="E166" t="s">
        <v>1878</v>
      </c>
      <c r="F166" t="s">
        <v>2367</v>
      </c>
      <c r="G166" t="s">
        <v>983</v>
      </c>
      <c r="H166" t="s">
        <v>7</v>
      </c>
      <c r="I166" t="s">
        <v>37</v>
      </c>
      <c r="J166" t="s">
        <v>990</v>
      </c>
      <c r="K166" t="s">
        <v>1900</v>
      </c>
      <c r="L166" t="s">
        <v>1881</v>
      </c>
      <c r="M166" t="s">
        <v>32</v>
      </c>
      <c r="N166">
        <f>Main5[[#This Row],[Quantity]]*Main5[[#This Row],[Unit Price]]</f>
        <v>1159.0999999999999</v>
      </c>
      <c r="O166">
        <f>Main5[[#This Row],[Unit Price]]-Main5[[#This Row],[Unit Price]]*0.2</f>
        <v>185.45599999999999</v>
      </c>
      <c r="P166">
        <f>Main5[[#This Row],[Total Price]]-Main5[[#This Row],[Cost Price]]</f>
        <v>973.64399999999989</v>
      </c>
      <c r="Q166" t="str">
        <f>TEXT(Main5[[#This Row],[Date]],"mmm")</f>
        <v>Jun</v>
      </c>
    </row>
    <row r="167" spans="1:17" x14ac:dyDescent="0.25">
      <c r="A167" t="s">
        <v>1458</v>
      </c>
      <c r="B167" t="s">
        <v>2597</v>
      </c>
      <c r="C167" t="s">
        <v>1459</v>
      </c>
      <c r="D167" t="s">
        <v>5</v>
      </c>
      <c r="E167" t="s">
        <v>1883</v>
      </c>
      <c r="F167" t="s">
        <v>2598</v>
      </c>
      <c r="G167" t="s">
        <v>1460</v>
      </c>
      <c r="H167" t="s">
        <v>15</v>
      </c>
      <c r="I167" t="s">
        <v>37</v>
      </c>
      <c r="J167" t="s">
        <v>1461</v>
      </c>
      <c r="K167" t="s">
        <v>1885</v>
      </c>
      <c r="L167" t="s">
        <v>1911</v>
      </c>
      <c r="M167" t="s">
        <v>17</v>
      </c>
      <c r="N167">
        <f>Main5[[#This Row],[Quantity]]*Main5[[#This Row],[Unit Price]]</f>
        <v>1151.6600000000001</v>
      </c>
      <c r="O167">
        <f>Main5[[#This Row],[Unit Price]]-Main5[[#This Row],[Unit Price]]*0.2</f>
        <v>460.66400000000004</v>
      </c>
      <c r="P167">
        <f>Main5[[#This Row],[Total Price]]-Main5[[#This Row],[Cost Price]]</f>
        <v>690.99600000000009</v>
      </c>
      <c r="Q167" t="str">
        <f>TEXT(Main5[[#This Row],[Date]],"mmm")</f>
        <v>Jan</v>
      </c>
    </row>
    <row r="168" spans="1:17" x14ac:dyDescent="0.25">
      <c r="A168" t="s">
        <v>1268</v>
      </c>
      <c r="B168" t="s">
        <v>2501</v>
      </c>
      <c r="C168" t="s">
        <v>1269</v>
      </c>
      <c r="D168" t="s">
        <v>5</v>
      </c>
      <c r="E168" t="s">
        <v>1885</v>
      </c>
      <c r="F168" t="s">
        <v>2502</v>
      </c>
      <c r="G168" t="s">
        <v>325</v>
      </c>
      <c r="H168" t="s">
        <v>15</v>
      </c>
      <c r="I168" t="s">
        <v>75</v>
      </c>
      <c r="J168" t="s">
        <v>1270</v>
      </c>
      <c r="K168" t="s">
        <v>1900</v>
      </c>
      <c r="L168" t="s">
        <v>1906</v>
      </c>
      <c r="M168" t="s">
        <v>10</v>
      </c>
      <c r="N168">
        <f>Main5[[#This Row],[Quantity]]*Main5[[#This Row],[Unit Price]]</f>
        <v>1144.23</v>
      </c>
      <c r="O168">
        <f>Main5[[#This Row],[Unit Price]]-Main5[[#This Row],[Unit Price]]*0.2</f>
        <v>305.12800000000004</v>
      </c>
      <c r="P168">
        <f>Main5[[#This Row],[Total Price]]-Main5[[#This Row],[Cost Price]]</f>
        <v>839.10199999999998</v>
      </c>
      <c r="Q168" t="str">
        <f>TEXT(Main5[[#This Row],[Date]],"mmm")</f>
        <v>Mar</v>
      </c>
    </row>
    <row r="169" spans="1:17" x14ac:dyDescent="0.25">
      <c r="A169" t="s">
        <v>468</v>
      </c>
      <c r="B169" t="s">
        <v>2111</v>
      </c>
      <c r="C169" t="s">
        <v>469</v>
      </c>
      <c r="D169" t="s">
        <v>35</v>
      </c>
      <c r="E169" t="s">
        <v>1894</v>
      </c>
      <c r="F169" t="s">
        <v>2112</v>
      </c>
      <c r="G169" t="s">
        <v>470</v>
      </c>
      <c r="H169" t="s">
        <v>15</v>
      </c>
      <c r="I169" t="s">
        <v>75</v>
      </c>
      <c r="J169" t="s">
        <v>471</v>
      </c>
      <c r="K169" t="s">
        <v>1888</v>
      </c>
      <c r="L169" t="s">
        <v>1906</v>
      </c>
      <c r="M169" t="s">
        <v>63</v>
      </c>
      <c r="N169">
        <f>Main5[[#This Row],[Quantity]]*Main5[[#This Row],[Unit Price]]</f>
        <v>1135.1600000000001</v>
      </c>
      <c r="O169">
        <f>Main5[[#This Row],[Unit Price]]-Main5[[#This Row],[Unit Price]]*0.2</f>
        <v>227.03200000000001</v>
      </c>
      <c r="P169">
        <f>Main5[[#This Row],[Total Price]]-Main5[[#This Row],[Cost Price]]</f>
        <v>908.12800000000004</v>
      </c>
      <c r="Q169" t="str">
        <f>TEXT(Main5[[#This Row],[Date]],"mmm")</f>
        <v>Jul</v>
      </c>
    </row>
    <row r="170" spans="1:17" x14ac:dyDescent="0.25">
      <c r="A170" t="s">
        <v>1734</v>
      </c>
      <c r="B170" t="s">
        <v>2739</v>
      </c>
      <c r="C170" t="s">
        <v>1735</v>
      </c>
      <c r="D170" t="s">
        <v>60</v>
      </c>
      <c r="E170" t="s">
        <v>1883</v>
      </c>
      <c r="F170" t="s">
        <v>2740</v>
      </c>
      <c r="G170" t="s">
        <v>1736</v>
      </c>
      <c r="H170" t="s">
        <v>22</v>
      </c>
      <c r="I170" t="s">
        <v>75</v>
      </c>
      <c r="J170" t="s">
        <v>1737</v>
      </c>
      <c r="K170" t="s">
        <v>1885</v>
      </c>
      <c r="L170" t="s">
        <v>1906</v>
      </c>
      <c r="M170" t="s">
        <v>10</v>
      </c>
      <c r="N170">
        <f>Main5[[#This Row],[Quantity]]*Main5[[#This Row],[Unit Price]]</f>
        <v>1127.6400000000001</v>
      </c>
      <c r="O170">
        <f>Main5[[#This Row],[Unit Price]]-Main5[[#This Row],[Unit Price]]*0.2</f>
        <v>451.05600000000004</v>
      </c>
      <c r="P170">
        <f>Main5[[#This Row],[Total Price]]-Main5[[#This Row],[Cost Price]]</f>
        <v>676.58400000000006</v>
      </c>
      <c r="Q170" t="str">
        <f>TEXT(Main5[[#This Row],[Date]],"mmm")</f>
        <v>Jun</v>
      </c>
    </row>
    <row r="171" spans="1:17" x14ac:dyDescent="0.25">
      <c r="A171" t="s">
        <v>984</v>
      </c>
      <c r="B171" t="s">
        <v>2364</v>
      </c>
      <c r="C171" t="s">
        <v>985</v>
      </c>
      <c r="D171" t="s">
        <v>45</v>
      </c>
      <c r="E171" t="s">
        <v>1883</v>
      </c>
      <c r="F171" t="s">
        <v>2365</v>
      </c>
      <c r="G171" t="s">
        <v>986</v>
      </c>
      <c r="H171" t="s">
        <v>52</v>
      </c>
      <c r="I171" t="s">
        <v>30</v>
      </c>
      <c r="J171" t="s">
        <v>987</v>
      </c>
      <c r="K171" t="s">
        <v>1900</v>
      </c>
      <c r="L171" t="s">
        <v>1906</v>
      </c>
      <c r="M171" t="s">
        <v>10</v>
      </c>
      <c r="N171">
        <f>Main5[[#This Row],[Quantity]]*Main5[[#This Row],[Unit Price]]</f>
        <v>1126.1199999999999</v>
      </c>
      <c r="O171">
        <f>Main5[[#This Row],[Unit Price]]-Main5[[#This Row],[Unit Price]]*0.2</f>
        <v>450.44799999999998</v>
      </c>
      <c r="P171">
        <f>Main5[[#This Row],[Total Price]]-Main5[[#This Row],[Cost Price]]</f>
        <v>675.67199999999991</v>
      </c>
      <c r="Q171" t="str">
        <f>TEXT(Main5[[#This Row],[Date]],"mmm")</f>
        <v>Dec</v>
      </c>
    </row>
    <row r="172" spans="1:17" x14ac:dyDescent="0.25">
      <c r="A172" t="s">
        <v>101</v>
      </c>
      <c r="B172" t="s">
        <v>1928</v>
      </c>
      <c r="C172" t="s">
        <v>102</v>
      </c>
      <c r="D172" t="s">
        <v>5</v>
      </c>
      <c r="E172" t="s">
        <v>1878</v>
      </c>
      <c r="F172" t="s">
        <v>1929</v>
      </c>
      <c r="G172" t="s">
        <v>103</v>
      </c>
      <c r="H172" t="s">
        <v>52</v>
      </c>
      <c r="I172" t="s">
        <v>30</v>
      </c>
      <c r="J172" t="s">
        <v>104</v>
      </c>
      <c r="K172" t="s">
        <v>1903</v>
      </c>
      <c r="L172" t="s">
        <v>1881</v>
      </c>
      <c r="M172" t="s">
        <v>63</v>
      </c>
      <c r="N172">
        <f>Main5[[#This Row],[Quantity]]*Main5[[#This Row],[Unit Price]]</f>
        <v>1120</v>
      </c>
      <c r="O172">
        <f>Main5[[#This Row],[Unit Price]]-Main5[[#This Row],[Unit Price]]*0.2</f>
        <v>179.2</v>
      </c>
      <c r="P172">
        <f>Main5[[#This Row],[Total Price]]-Main5[[#This Row],[Cost Price]]</f>
        <v>940.8</v>
      </c>
      <c r="Q172" t="str">
        <f>TEXT(Main5[[#This Row],[Date]],"mmm")</f>
        <v>Jan</v>
      </c>
    </row>
    <row r="173" spans="1:17" x14ac:dyDescent="0.25">
      <c r="A173" t="s">
        <v>691</v>
      </c>
      <c r="B173" t="s">
        <v>2221</v>
      </c>
      <c r="C173" t="s">
        <v>692</v>
      </c>
      <c r="D173" t="s">
        <v>45</v>
      </c>
      <c r="E173" t="s">
        <v>1878</v>
      </c>
      <c r="F173" t="s">
        <v>2222</v>
      </c>
      <c r="G173" t="s">
        <v>693</v>
      </c>
      <c r="H173" t="s">
        <v>52</v>
      </c>
      <c r="I173" t="s">
        <v>30</v>
      </c>
      <c r="J173" t="s">
        <v>694</v>
      </c>
      <c r="K173" t="s">
        <v>1878</v>
      </c>
      <c r="L173" t="s">
        <v>1911</v>
      </c>
      <c r="M173" t="s">
        <v>17</v>
      </c>
      <c r="N173">
        <f>Main5[[#This Row],[Quantity]]*Main5[[#This Row],[Unit Price]]</f>
        <v>1107.55</v>
      </c>
      <c r="O173">
        <f>Main5[[#This Row],[Unit Price]]-Main5[[#This Row],[Unit Price]]*0.2</f>
        <v>177.208</v>
      </c>
      <c r="P173">
        <f>Main5[[#This Row],[Total Price]]-Main5[[#This Row],[Cost Price]]</f>
        <v>930.34199999999998</v>
      </c>
      <c r="Q173" t="str">
        <f>TEXT(Main5[[#This Row],[Date]],"mmm")</f>
        <v>Aug</v>
      </c>
    </row>
    <row r="174" spans="1:17" x14ac:dyDescent="0.25">
      <c r="A174" t="s">
        <v>476</v>
      </c>
      <c r="B174" t="s">
        <v>2115</v>
      </c>
      <c r="C174" t="s">
        <v>477</v>
      </c>
      <c r="D174" t="s">
        <v>60</v>
      </c>
      <c r="E174" t="s">
        <v>1894</v>
      </c>
      <c r="F174" t="s">
        <v>2116</v>
      </c>
      <c r="G174" t="s">
        <v>478</v>
      </c>
      <c r="H174" t="s">
        <v>47</v>
      </c>
      <c r="I174" t="s">
        <v>8</v>
      </c>
      <c r="J174" t="s">
        <v>479</v>
      </c>
      <c r="K174" t="s">
        <v>1888</v>
      </c>
      <c r="L174" t="s">
        <v>1889</v>
      </c>
      <c r="M174" t="s">
        <v>63</v>
      </c>
      <c r="N174">
        <f>Main5[[#This Row],[Quantity]]*Main5[[#This Row],[Unit Price]]</f>
        <v>1102</v>
      </c>
      <c r="O174">
        <f>Main5[[#This Row],[Unit Price]]-Main5[[#This Row],[Unit Price]]*0.2</f>
        <v>220.4</v>
      </c>
      <c r="P174">
        <f>Main5[[#This Row],[Total Price]]-Main5[[#This Row],[Cost Price]]</f>
        <v>881.6</v>
      </c>
      <c r="Q174" t="str">
        <f>TEXT(Main5[[#This Row],[Date]],"mmm")</f>
        <v>May</v>
      </c>
    </row>
    <row r="175" spans="1:17" x14ac:dyDescent="0.25">
      <c r="A175" t="s">
        <v>979</v>
      </c>
      <c r="B175" t="s">
        <v>2362</v>
      </c>
      <c r="C175" t="s">
        <v>980</v>
      </c>
      <c r="D175" t="s">
        <v>60</v>
      </c>
      <c r="E175" t="s">
        <v>1894</v>
      </c>
      <c r="F175" t="s">
        <v>2363</v>
      </c>
      <c r="G175" t="s">
        <v>981</v>
      </c>
      <c r="H175" t="s">
        <v>47</v>
      </c>
      <c r="I175" t="s">
        <v>8</v>
      </c>
      <c r="J175" t="s">
        <v>982</v>
      </c>
      <c r="K175" t="s">
        <v>1903</v>
      </c>
      <c r="L175" t="s">
        <v>1911</v>
      </c>
      <c r="M175" t="s">
        <v>32</v>
      </c>
      <c r="N175">
        <f>Main5[[#This Row],[Quantity]]*Main5[[#This Row],[Unit Price]]</f>
        <v>1101.1199999999999</v>
      </c>
      <c r="O175">
        <f>Main5[[#This Row],[Unit Price]]-Main5[[#This Row],[Unit Price]]*0.2</f>
        <v>220.22399999999999</v>
      </c>
      <c r="P175">
        <f>Main5[[#This Row],[Total Price]]-Main5[[#This Row],[Cost Price]]</f>
        <v>880.89599999999996</v>
      </c>
      <c r="Q175" t="str">
        <f>TEXT(Main5[[#This Row],[Date]],"mmm")</f>
        <v>Oct</v>
      </c>
    </row>
    <row r="176" spans="1:17" x14ac:dyDescent="0.25">
      <c r="A176" t="s">
        <v>117</v>
      </c>
      <c r="B176" t="s">
        <v>1936</v>
      </c>
      <c r="C176" t="s">
        <v>118</v>
      </c>
      <c r="D176" t="s">
        <v>13</v>
      </c>
      <c r="E176" t="s">
        <v>1894</v>
      </c>
      <c r="F176" t="s">
        <v>1937</v>
      </c>
      <c r="G176" t="s">
        <v>119</v>
      </c>
      <c r="H176" t="s">
        <v>7</v>
      </c>
      <c r="I176" t="s">
        <v>23</v>
      </c>
      <c r="J176" t="s">
        <v>120</v>
      </c>
      <c r="K176" t="s">
        <v>1878</v>
      </c>
      <c r="L176" t="s">
        <v>1889</v>
      </c>
      <c r="M176" t="s">
        <v>17</v>
      </c>
      <c r="N176">
        <f>Main5[[#This Row],[Quantity]]*Main5[[#This Row],[Unit Price]]</f>
        <v>1093</v>
      </c>
      <c r="O176">
        <f>Main5[[#This Row],[Unit Price]]-Main5[[#This Row],[Unit Price]]*0.2</f>
        <v>218.6</v>
      </c>
      <c r="P176">
        <f>Main5[[#This Row],[Total Price]]-Main5[[#This Row],[Cost Price]]</f>
        <v>874.4</v>
      </c>
      <c r="Q176" t="str">
        <f>TEXT(Main5[[#This Row],[Date]],"mmm")</f>
        <v>Apr</v>
      </c>
    </row>
    <row r="177" spans="1:17" x14ac:dyDescent="0.25">
      <c r="A177" t="s">
        <v>995</v>
      </c>
      <c r="B177" t="s">
        <v>2370</v>
      </c>
      <c r="C177" t="s">
        <v>996</v>
      </c>
      <c r="D177" t="s">
        <v>60</v>
      </c>
      <c r="E177" t="s">
        <v>1885</v>
      </c>
      <c r="F177" t="s">
        <v>2371</v>
      </c>
      <c r="G177" t="s">
        <v>997</v>
      </c>
      <c r="H177" t="s">
        <v>22</v>
      </c>
      <c r="I177" t="s">
        <v>8</v>
      </c>
      <c r="J177" t="s">
        <v>998</v>
      </c>
      <c r="K177" t="s">
        <v>1888</v>
      </c>
      <c r="L177" t="s">
        <v>1906</v>
      </c>
      <c r="M177" t="s">
        <v>17</v>
      </c>
      <c r="N177">
        <f>Main5[[#This Row],[Quantity]]*Main5[[#This Row],[Unit Price]]</f>
        <v>1084.17</v>
      </c>
      <c r="O177">
        <f>Main5[[#This Row],[Unit Price]]-Main5[[#This Row],[Unit Price]]*0.2</f>
        <v>289.11199999999997</v>
      </c>
      <c r="P177">
        <f>Main5[[#This Row],[Total Price]]-Main5[[#This Row],[Cost Price]]</f>
        <v>795.05800000000011</v>
      </c>
      <c r="Q177" t="str">
        <f>TEXT(Main5[[#This Row],[Date]],"mmm")</f>
        <v>Jun</v>
      </c>
    </row>
    <row r="178" spans="1:17" x14ac:dyDescent="0.25">
      <c r="A178" t="s">
        <v>452</v>
      </c>
      <c r="B178" t="s">
        <v>2103</v>
      </c>
      <c r="C178" t="s">
        <v>453</v>
      </c>
      <c r="D178" t="s">
        <v>60</v>
      </c>
      <c r="E178" t="s">
        <v>1883</v>
      </c>
      <c r="F178" t="s">
        <v>2104</v>
      </c>
      <c r="G178" t="s">
        <v>454</v>
      </c>
      <c r="H178" t="s">
        <v>7</v>
      </c>
      <c r="I178" t="s">
        <v>8</v>
      </c>
      <c r="J178" t="s">
        <v>455</v>
      </c>
      <c r="K178" t="s">
        <v>1880</v>
      </c>
      <c r="L178" t="s">
        <v>1889</v>
      </c>
      <c r="M178" t="s">
        <v>17</v>
      </c>
      <c r="N178">
        <f>Main5[[#This Row],[Quantity]]*Main5[[#This Row],[Unit Price]]</f>
        <v>1069.3399999999999</v>
      </c>
      <c r="O178">
        <f>Main5[[#This Row],[Unit Price]]-Main5[[#This Row],[Unit Price]]*0.2</f>
        <v>427.73599999999999</v>
      </c>
      <c r="P178">
        <f>Main5[[#This Row],[Total Price]]-Main5[[#This Row],[Cost Price]]</f>
        <v>641.60399999999993</v>
      </c>
      <c r="Q178" t="str">
        <f>TEXT(Main5[[#This Row],[Date]],"mmm")</f>
        <v>Jun</v>
      </c>
    </row>
    <row r="179" spans="1:17" x14ac:dyDescent="0.25">
      <c r="A179" t="s">
        <v>89</v>
      </c>
      <c r="B179" t="s">
        <v>1922</v>
      </c>
      <c r="C179" t="s">
        <v>90</v>
      </c>
      <c r="D179" t="s">
        <v>35</v>
      </c>
      <c r="E179" t="s">
        <v>1883</v>
      </c>
      <c r="F179" t="s">
        <v>1923</v>
      </c>
      <c r="G179" t="s">
        <v>91</v>
      </c>
      <c r="H179" t="s">
        <v>22</v>
      </c>
      <c r="I179" t="s">
        <v>75</v>
      </c>
      <c r="J179" t="s">
        <v>92</v>
      </c>
      <c r="K179" t="s">
        <v>1885</v>
      </c>
      <c r="L179" t="s">
        <v>1889</v>
      </c>
      <c r="M179" t="s">
        <v>25</v>
      </c>
      <c r="N179">
        <f>Main5[[#This Row],[Quantity]]*Main5[[#This Row],[Unit Price]]</f>
        <v>1067.6199999999999</v>
      </c>
      <c r="O179">
        <f>Main5[[#This Row],[Unit Price]]-Main5[[#This Row],[Unit Price]]*0.2</f>
        <v>427.04799999999994</v>
      </c>
      <c r="P179">
        <f>Main5[[#This Row],[Total Price]]-Main5[[#This Row],[Cost Price]]</f>
        <v>640.57199999999989</v>
      </c>
      <c r="Q179" t="str">
        <f>TEXT(Main5[[#This Row],[Date]],"mmm")</f>
        <v>Jan</v>
      </c>
    </row>
    <row r="180" spans="1:17" x14ac:dyDescent="0.25">
      <c r="A180" t="s">
        <v>460</v>
      </c>
      <c r="B180" t="s">
        <v>2107</v>
      </c>
      <c r="C180" t="s">
        <v>461</v>
      </c>
      <c r="D180" t="s">
        <v>45</v>
      </c>
      <c r="E180" t="s">
        <v>1883</v>
      </c>
      <c r="F180" t="s">
        <v>2108</v>
      </c>
      <c r="G180" t="s">
        <v>462</v>
      </c>
      <c r="H180" t="s">
        <v>47</v>
      </c>
      <c r="I180" t="s">
        <v>8</v>
      </c>
      <c r="J180" t="s">
        <v>463</v>
      </c>
      <c r="K180" t="s">
        <v>1883</v>
      </c>
      <c r="L180" t="s">
        <v>1906</v>
      </c>
      <c r="M180" t="s">
        <v>32</v>
      </c>
      <c r="N180">
        <f>Main5[[#This Row],[Quantity]]*Main5[[#This Row],[Unit Price]]</f>
        <v>1066.04</v>
      </c>
      <c r="O180">
        <f>Main5[[#This Row],[Unit Price]]-Main5[[#This Row],[Unit Price]]*0.2</f>
        <v>426.416</v>
      </c>
      <c r="P180">
        <f>Main5[[#This Row],[Total Price]]-Main5[[#This Row],[Cost Price]]</f>
        <v>639.62400000000002</v>
      </c>
      <c r="Q180" t="str">
        <f>TEXT(Main5[[#This Row],[Date]],"mmm")</f>
        <v>Apr</v>
      </c>
    </row>
    <row r="181" spans="1:17" x14ac:dyDescent="0.25">
      <c r="A181" t="s">
        <v>1048</v>
      </c>
      <c r="B181" t="s">
        <v>2396</v>
      </c>
      <c r="C181" t="s">
        <v>1049</v>
      </c>
      <c r="D181" t="s">
        <v>35</v>
      </c>
      <c r="E181" t="s">
        <v>1894</v>
      </c>
      <c r="F181" t="s">
        <v>2397</v>
      </c>
      <c r="G181" t="s">
        <v>1050</v>
      </c>
      <c r="H181" t="s">
        <v>22</v>
      </c>
      <c r="I181" t="s">
        <v>75</v>
      </c>
      <c r="J181" t="s">
        <v>1051</v>
      </c>
      <c r="K181" t="s">
        <v>1878</v>
      </c>
      <c r="L181" t="s">
        <v>1881</v>
      </c>
      <c r="M181" t="s">
        <v>63</v>
      </c>
      <c r="N181">
        <f>Main5[[#This Row],[Quantity]]*Main5[[#This Row],[Unit Price]]</f>
        <v>1059.1600000000001</v>
      </c>
      <c r="O181">
        <f>Main5[[#This Row],[Unit Price]]-Main5[[#This Row],[Unit Price]]*0.2</f>
        <v>211.83200000000002</v>
      </c>
      <c r="P181">
        <f>Main5[[#This Row],[Total Price]]-Main5[[#This Row],[Cost Price]]</f>
        <v>847.32800000000009</v>
      </c>
      <c r="Q181" t="str">
        <f>TEXT(Main5[[#This Row],[Date]],"mmm")</f>
        <v>Feb</v>
      </c>
    </row>
    <row r="182" spans="1:17" x14ac:dyDescent="0.25">
      <c r="A182" t="s">
        <v>484</v>
      </c>
      <c r="B182" t="s">
        <v>2119</v>
      </c>
      <c r="C182" t="s">
        <v>485</v>
      </c>
      <c r="D182" t="s">
        <v>45</v>
      </c>
      <c r="E182" t="s">
        <v>1894</v>
      </c>
      <c r="F182" t="s">
        <v>2120</v>
      </c>
      <c r="G182" t="s">
        <v>486</v>
      </c>
      <c r="H182" t="s">
        <v>7</v>
      </c>
      <c r="I182" t="s">
        <v>8</v>
      </c>
      <c r="J182" t="s">
        <v>487</v>
      </c>
      <c r="K182" t="s">
        <v>1894</v>
      </c>
      <c r="L182" t="s">
        <v>1889</v>
      </c>
      <c r="M182" t="s">
        <v>32</v>
      </c>
      <c r="N182">
        <f>Main5[[#This Row],[Quantity]]*Main5[[#This Row],[Unit Price]]</f>
        <v>1055.72</v>
      </c>
      <c r="O182">
        <f>Main5[[#This Row],[Unit Price]]-Main5[[#This Row],[Unit Price]]*0.2</f>
        <v>211.14400000000001</v>
      </c>
      <c r="P182">
        <f>Main5[[#This Row],[Total Price]]-Main5[[#This Row],[Cost Price]]</f>
        <v>844.57600000000002</v>
      </c>
      <c r="Q182" t="str">
        <f>TEXT(Main5[[#This Row],[Date]],"mmm")</f>
        <v>Oct</v>
      </c>
    </row>
    <row r="183" spans="1:17" x14ac:dyDescent="0.25">
      <c r="A183" t="s">
        <v>1247</v>
      </c>
      <c r="B183" t="s">
        <v>2491</v>
      </c>
      <c r="C183" t="s">
        <v>1248</v>
      </c>
      <c r="D183" t="s">
        <v>20</v>
      </c>
      <c r="E183" t="s">
        <v>1894</v>
      </c>
      <c r="F183" t="s">
        <v>2492</v>
      </c>
      <c r="G183" t="s">
        <v>1249</v>
      </c>
      <c r="H183" t="s">
        <v>52</v>
      </c>
      <c r="I183" t="s">
        <v>8</v>
      </c>
      <c r="J183" t="s">
        <v>1250</v>
      </c>
      <c r="K183" t="s">
        <v>1878</v>
      </c>
      <c r="L183" t="s">
        <v>1881</v>
      </c>
      <c r="M183" t="s">
        <v>25</v>
      </c>
      <c r="N183">
        <f>Main5[[#This Row],[Quantity]]*Main5[[#This Row],[Unit Price]]</f>
        <v>1054.48</v>
      </c>
      <c r="O183">
        <f>Main5[[#This Row],[Unit Price]]-Main5[[#This Row],[Unit Price]]*0.2</f>
        <v>210.89600000000002</v>
      </c>
      <c r="P183">
        <f>Main5[[#This Row],[Total Price]]-Main5[[#This Row],[Cost Price]]</f>
        <v>843.58400000000006</v>
      </c>
      <c r="Q183" t="str">
        <f>TEXT(Main5[[#This Row],[Date]],"mmm")</f>
        <v>Sep</v>
      </c>
    </row>
    <row r="184" spans="1:17" x14ac:dyDescent="0.25">
      <c r="A184" t="s">
        <v>1111</v>
      </c>
      <c r="B184" t="s">
        <v>2426</v>
      </c>
      <c r="C184" t="s">
        <v>1112</v>
      </c>
      <c r="D184" t="s">
        <v>35</v>
      </c>
      <c r="E184" t="s">
        <v>1894</v>
      </c>
      <c r="F184" t="s">
        <v>2427</v>
      </c>
      <c r="G184" t="s">
        <v>1113</v>
      </c>
      <c r="H184" t="s">
        <v>7</v>
      </c>
      <c r="I184" t="s">
        <v>8</v>
      </c>
      <c r="J184" t="s">
        <v>1114</v>
      </c>
      <c r="K184" t="s">
        <v>1888</v>
      </c>
      <c r="L184" t="s">
        <v>1881</v>
      </c>
      <c r="M184" t="s">
        <v>63</v>
      </c>
      <c r="N184">
        <f>Main5[[#This Row],[Quantity]]*Main5[[#This Row],[Unit Price]]</f>
        <v>1052.3599999999999</v>
      </c>
      <c r="O184">
        <f>Main5[[#This Row],[Unit Price]]-Main5[[#This Row],[Unit Price]]*0.2</f>
        <v>210.47199999999998</v>
      </c>
      <c r="P184">
        <f>Main5[[#This Row],[Total Price]]-Main5[[#This Row],[Cost Price]]</f>
        <v>841.88799999999992</v>
      </c>
      <c r="Q184" t="str">
        <f>TEXT(Main5[[#This Row],[Date]],"mmm")</f>
        <v>Jan</v>
      </c>
    </row>
    <row r="185" spans="1:17" x14ac:dyDescent="0.25">
      <c r="A185" t="s">
        <v>1873</v>
      </c>
      <c r="B185" t="s">
        <v>2815</v>
      </c>
      <c r="C185" t="s">
        <v>1874</v>
      </c>
      <c r="D185" t="s">
        <v>28</v>
      </c>
      <c r="E185" t="s">
        <v>1894</v>
      </c>
      <c r="F185" t="s">
        <v>2816</v>
      </c>
      <c r="G185" t="s">
        <v>1875</v>
      </c>
      <c r="H185" t="s">
        <v>7</v>
      </c>
      <c r="I185" t="s">
        <v>23</v>
      </c>
      <c r="J185" t="s">
        <v>1876</v>
      </c>
      <c r="K185" t="s">
        <v>1894</v>
      </c>
      <c r="L185" t="s">
        <v>1911</v>
      </c>
      <c r="M185" t="s">
        <v>10</v>
      </c>
      <c r="N185">
        <f>Main5[[#This Row],[Quantity]]*Main5[[#This Row],[Unit Price]]</f>
        <v>1050.08</v>
      </c>
      <c r="O185">
        <f>Main5[[#This Row],[Unit Price]]-Main5[[#This Row],[Unit Price]]*0.2</f>
        <v>210.01599999999999</v>
      </c>
      <c r="P185">
        <f>Main5[[#This Row],[Total Price]]-Main5[[#This Row],[Cost Price]]</f>
        <v>840.06399999999996</v>
      </c>
      <c r="Q185" t="str">
        <f>TEXT(Main5[[#This Row],[Date]],"mmm")</f>
        <v>Aug</v>
      </c>
    </row>
    <row r="186" spans="1:17" x14ac:dyDescent="0.25">
      <c r="A186" t="s">
        <v>1741</v>
      </c>
      <c r="B186" t="s">
        <v>2743</v>
      </c>
      <c r="C186" t="s">
        <v>1742</v>
      </c>
      <c r="D186" t="s">
        <v>45</v>
      </c>
      <c r="E186" t="s">
        <v>1883</v>
      </c>
      <c r="F186" t="s">
        <v>2744</v>
      </c>
      <c r="G186" t="s">
        <v>1743</v>
      </c>
      <c r="H186" t="s">
        <v>52</v>
      </c>
      <c r="I186" t="s">
        <v>37</v>
      </c>
      <c r="J186" t="s">
        <v>1744</v>
      </c>
      <c r="K186" t="s">
        <v>1880</v>
      </c>
      <c r="L186" t="s">
        <v>1881</v>
      </c>
      <c r="M186" t="s">
        <v>10</v>
      </c>
      <c r="N186">
        <f>Main5[[#This Row],[Quantity]]*Main5[[#This Row],[Unit Price]]</f>
        <v>1042.8</v>
      </c>
      <c r="O186">
        <f>Main5[[#This Row],[Unit Price]]-Main5[[#This Row],[Unit Price]]*0.2</f>
        <v>417.12</v>
      </c>
      <c r="P186">
        <f>Main5[[#This Row],[Total Price]]-Main5[[#This Row],[Cost Price]]</f>
        <v>625.67999999999995</v>
      </c>
      <c r="Q186" t="str">
        <f>TEXT(Main5[[#This Row],[Date]],"mmm")</f>
        <v>Apr</v>
      </c>
    </row>
    <row r="187" spans="1:17" x14ac:dyDescent="0.25">
      <c r="A187" t="s">
        <v>1162</v>
      </c>
      <c r="B187" t="s">
        <v>2451</v>
      </c>
      <c r="C187" t="s">
        <v>1163</v>
      </c>
      <c r="D187" t="s">
        <v>20</v>
      </c>
      <c r="E187" t="s">
        <v>1883</v>
      </c>
      <c r="F187" t="s">
        <v>2452</v>
      </c>
      <c r="G187" t="s">
        <v>1164</v>
      </c>
      <c r="H187" t="s">
        <v>7</v>
      </c>
      <c r="I187" t="s">
        <v>8</v>
      </c>
      <c r="J187" t="s">
        <v>1165</v>
      </c>
      <c r="K187" t="s">
        <v>1878</v>
      </c>
      <c r="L187" t="s">
        <v>1906</v>
      </c>
      <c r="M187" t="s">
        <v>25</v>
      </c>
      <c r="N187">
        <f>Main5[[#This Row],[Quantity]]*Main5[[#This Row],[Unit Price]]</f>
        <v>1036.46</v>
      </c>
      <c r="O187">
        <f>Main5[[#This Row],[Unit Price]]-Main5[[#This Row],[Unit Price]]*0.2</f>
        <v>414.584</v>
      </c>
      <c r="P187">
        <f>Main5[[#This Row],[Total Price]]-Main5[[#This Row],[Cost Price]]</f>
        <v>621.87599999999998</v>
      </c>
      <c r="Q187" t="str">
        <f>TEXT(Main5[[#This Row],[Date]],"mmm")</f>
        <v>Jan</v>
      </c>
    </row>
    <row r="188" spans="1:17" x14ac:dyDescent="0.25">
      <c r="A188" t="s">
        <v>221</v>
      </c>
      <c r="B188" t="s">
        <v>1989</v>
      </c>
      <c r="C188" t="s">
        <v>222</v>
      </c>
      <c r="D188" t="s">
        <v>35</v>
      </c>
      <c r="E188" t="s">
        <v>1885</v>
      </c>
      <c r="F188" t="s">
        <v>1990</v>
      </c>
      <c r="G188" t="s">
        <v>223</v>
      </c>
      <c r="H188" t="s">
        <v>15</v>
      </c>
      <c r="I188" t="s">
        <v>23</v>
      </c>
      <c r="J188" t="s">
        <v>224</v>
      </c>
      <c r="K188" t="s">
        <v>1885</v>
      </c>
      <c r="L188" t="s">
        <v>1906</v>
      </c>
      <c r="M188" t="s">
        <v>32</v>
      </c>
      <c r="N188">
        <f>Main5[[#This Row],[Quantity]]*Main5[[#This Row],[Unit Price]]</f>
        <v>1033.1999999999998</v>
      </c>
      <c r="O188">
        <f>Main5[[#This Row],[Unit Price]]-Main5[[#This Row],[Unit Price]]*0.2</f>
        <v>275.52</v>
      </c>
      <c r="P188">
        <f>Main5[[#This Row],[Total Price]]-Main5[[#This Row],[Cost Price]]</f>
        <v>757.67999999999984</v>
      </c>
      <c r="Q188" t="str">
        <f>TEXT(Main5[[#This Row],[Date]],"mmm")</f>
        <v>Jun</v>
      </c>
    </row>
    <row r="189" spans="1:17" x14ac:dyDescent="0.25">
      <c r="A189" t="s">
        <v>472</v>
      </c>
      <c r="B189" t="s">
        <v>2113</v>
      </c>
      <c r="C189" t="s">
        <v>473</v>
      </c>
      <c r="D189" t="s">
        <v>13</v>
      </c>
      <c r="E189" t="s">
        <v>1883</v>
      </c>
      <c r="F189" t="s">
        <v>2114</v>
      </c>
      <c r="G189" t="s">
        <v>474</v>
      </c>
      <c r="H189" t="s">
        <v>22</v>
      </c>
      <c r="I189" t="s">
        <v>8</v>
      </c>
      <c r="J189" t="s">
        <v>475</v>
      </c>
      <c r="K189" t="s">
        <v>1878</v>
      </c>
      <c r="L189" t="s">
        <v>1881</v>
      </c>
      <c r="M189" t="s">
        <v>25</v>
      </c>
      <c r="N189">
        <f>Main5[[#This Row],[Quantity]]*Main5[[#This Row],[Unit Price]]</f>
        <v>1025.3</v>
      </c>
      <c r="O189">
        <f>Main5[[#This Row],[Unit Price]]-Main5[[#This Row],[Unit Price]]*0.2</f>
        <v>410.12</v>
      </c>
      <c r="P189">
        <f>Main5[[#This Row],[Total Price]]-Main5[[#This Row],[Cost Price]]</f>
        <v>615.17999999999995</v>
      </c>
      <c r="Q189" t="str">
        <f>TEXT(Main5[[#This Row],[Date]],"mmm")</f>
        <v>Nov</v>
      </c>
    </row>
    <row r="190" spans="1:17" x14ac:dyDescent="0.25">
      <c r="A190" t="s">
        <v>1095</v>
      </c>
      <c r="B190" t="s">
        <v>2418</v>
      </c>
      <c r="C190" t="s">
        <v>1096</v>
      </c>
      <c r="D190" t="s">
        <v>45</v>
      </c>
      <c r="E190" t="s">
        <v>1885</v>
      </c>
      <c r="F190" t="s">
        <v>2419</v>
      </c>
      <c r="G190" t="s">
        <v>1097</v>
      </c>
      <c r="H190" t="s">
        <v>52</v>
      </c>
      <c r="I190" t="s">
        <v>75</v>
      </c>
      <c r="J190" t="s">
        <v>1098</v>
      </c>
      <c r="K190" t="s">
        <v>1894</v>
      </c>
      <c r="L190" t="s">
        <v>1889</v>
      </c>
      <c r="M190" t="s">
        <v>10</v>
      </c>
      <c r="N190">
        <f>Main5[[#This Row],[Quantity]]*Main5[[#This Row],[Unit Price]]</f>
        <v>1023.4499999999999</v>
      </c>
      <c r="O190">
        <f>Main5[[#This Row],[Unit Price]]-Main5[[#This Row],[Unit Price]]*0.2</f>
        <v>272.91999999999996</v>
      </c>
      <c r="P190">
        <f>Main5[[#This Row],[Total Price]]-Main5[[#This Row],[Cost Price]]</f>
        <v>750.53</v>
      </c>
      <c r="Q190" t="str">
        <f>TEXT(Main5[[#This Row],[Date]],"mmm")</f>
        <v>Jan</v>
      </c>
    </row>
    <row r="191" spans="1:17" x14ac:dyDescent="0.25">
      <c r="A191" t="s">
        <v>1829</v>
      </c>
      <c r="B191" t="s">
        <v>2791</v>
      </c>
      <c r="C191" t="s">
        <v>1830</v>
      </c>
      <c r="D191" t="s">
        <v>5</v>
      </c>
      <c r="E191" t="s">
        <v>1894</v>
      </c>
      <c r="F191" t="s">
        <v>2792</v>
      </c>
      <c r="G191" t="s">
        <v>1831</v>
      </c>
      <c r="H191" t="s">
        <v>22</v>
      </c>
      <c r="I191" t="s">
        <v>37</v>
      </c>
      <c r="J191" t="s">
        <v>1832</v>
      </c>
      <c r="K191" t="s">
        <v>1880</v>
      </c>
      <c r="L191" t="s">
        <v>1906</v>
      </c>
      <c r="M191" t="s">
        <v>25</v>
      </c>
      <c r="N191">
        <f>Main5[[#This Row],[Quantity]]*Main5[[#This Row],[Unit Price]]</f>
        <v>1023.44</v>
      </c>
      <c r="O191">
        <f>Main5[[#This Row],[Unit Price]]-Main5[[#This Row],[Unit Price]]*0.2</f>
        <v>204.68800000000002</v>
      </c>
      <c r="P191">
        <f>Main5[[#This Row],[Total Price]]-Main5[[#This Row],[Cost Price]]</f>
        <v>818.75200000000007</v>
      </c>
      <c r="Q191" t="str">
        <f>TEXT(Main5[[#This Row],[Date]],"mmm")</f>
        <v>Jun</v>
      </c>
    </row>
    <row r="192" spans="1:17" x14ac:dyDescent="0.25">
      <c r="A192" t="s">
        <v>1599</v>
      </c>
      <c r="B192" t="s">
        <v>2669</v>
      </c>
      <c r="C192" t="s">
        <v>1600</v>
      </c>
      <c r="D192" t="s">
        <v>60</v>
      </c>
      <c r="E192" t="s">
        <v>1885</v>
      </c>
      <c r="F192" t="s">
        <v>2670</v>
      </c>
      <c r="G192" t="s">
        <v>1601</v>
      </c>
      <c r="H192" t="s">
        <v>22</v>
      </c>
      <c r="I192" t="s">
        <v>75</v>
      </c>
      <c r="J192" t="s">
        <v>1602</v>
      </c>
      <c r="K192" t="s">
        <v>1894</v>
      </c>
      <c r="L192" t="s">
        <v>1906</v>
      </c>
      <c r="M192" t="s">
        <v>25</v>
      </c>
      <c r="N192">
        <f>Main5[[#This Row],[Quantity]]*Main5[[#This Row],[Unit Price]]</f>
        <v>1010.1299999999999</v>
      </c>
      <c r="O192">
        <f>Main5[[#This Row],[Unit Price]]-Main5[[#This Row],[Unit Price]]*0.2</f>
        <v>269.36799999999999</v>
      </c>
      <c r="P192">
        <f>Main5[[#This Row],[Total Price]]-Main5[[#This Row],[Cost Price]]</f>
        <v>740.76199999999994</v>
      </c>
      <c r="Q192" t="str">
        <f>TEXT(Main5[[#This Row],[Date]],"mmm")</f>
        <v>Jun</v>
      </c>
    </row>
    <row r="193" spans="1:17" x14ac:dyDescent="0.25">
      <c r="A193" t="s">
        <v>1103</v>
      </c>
      <c r="B193" t="s">
        <v>2422</v>
      </c>
      <c r="C193" t="s">
        <v>1104</v>
      </c>
      <c r="D193" t="s">
        <v>5</v>
      </c>
      <c r="E193" t="s">
        <v>1878</v>
      </c>
      <c r="F193" t="s">
        <v>2423</v>
      </c>
      <c r="G193" t="s">
        <v>1105</v>
      </c>
      <c r="H193" t="s">
        <v>7</v>
      </c>
      <c r="I193" t="s">
        <v>75</v>
      </c>
      <c r="J193" t="s">
        <v>1106</v>
      </c>
      <c r="K193" t="s">
        <v>1900</v>
      </c>
      <c r="L193" t="s">
        <v>1889</v>
      </c>
      <c r="M193" t="s">
        <v>32</v>
      </c>
      <c r="N193">
        <f>Main5[[#This Row],[Quantity]]*Main5[[#This Row],[Unit Price]]</f>
        <v>1006.1</v>
      </c>
      <c r="O193">
        <f>Main5[[#This Row],[Unit Price]]-Main5[[#This Row],[Unit Price]]*0.2</f>
        <v>160.976</v>
      </c>
      <c r="P193">
        <f>Main5[[#This Row],[Total Price]]-Main5[[#This Row],[Cost Price]]</f>
        <v>845.12400000000002</v>
      </c>
      <c r="Q193" t="str">
        <f>TEXT(Main5[[#This Row],[Date]],"mmm")</f>
        <v>Aug</v>
      </c>
    </row>
    <row r="194" spans="1:17" x14ac:dyDescent="0.25">
      <c r="A194" t="s">
        <v>1391</v>
      </c>
      <c r="B194" t="s">
        <v>2565</v>
      </c>
      <c r="C194" t="s">
        <v>1392</v>
      </c>
      <c r="D194" t="s">
        <v>45</v>
      </c>
      <c r="E194" t="s">
        <v>1883</v>
      </c>
      <c r="F194" t="s">
        <v>2566</v>
      </c>
      <c r="G194" t="s">
        <v>1393</v>
      </c>
      <c r="H194" t="s">
        <v>52</v>
      </c>
      <c r="I194" t="s">
        <v>37</v>
      </c>
      <c r="J194" t="s">
        <v>1394</v>
      </c>
      <c r="K194" t="s">
        <v>1885</v>
      </c>
      <c r="L194" t="s">
        <v>1889</v>
      </c>
      <c r="M194" t="s">
        <v>17</v>
      </c>
      <c r="N194">
        <f>Main5[[#This Row],[Quantity]]*Main5[[#This Row],[Unit Price]]</f>
        <v>1001.6</v>
      </c>
      <c r="O194">
        <f>Main5[[#This Row],[Unit Price]]-Main5[[#This Row],[Unit Price]]*0.2</f>
        <v>400.64</v>
      </c>
      <c r="P194">
        <f>Main5[[#This Row],[Total Price]]-Main5[[#This Row],[Cost Price]]</f>
        <v>600.96</v>
      </c>
      <c r="Q194" t="str">
        <f>TEXT(Main5[[#This Row],[Date]],"mmm")</f>
        <v>Feb</v>
      </c>
    </row>
    <row r="195" spans="1:17" x14ac:dyDescent="0.25">
      <c r="A195" t="s">
        <v>585</v>
      </c>
      <c r="B195" t="s">
        <v>2169</v>
      </c>
      <c r="C195" t="s">
        <v>586</v>
      </c>
      <c r="D195" t="s">
        <v>5</v>
      </c>
      <c r="E195" t="s">
        <v>1883</v>
      </c>
      <c r="F195" t="s">
        <v>2170</v>
      </c>
      <c r="G195" t="s">
        <v>587</v>
      </c>
      <c r="H195" t="s">
        <v>15</v>
      </c>
      <c r="I195" t="s">
        <v>30</v>
      </c>
      <c r="J195" t="s">
        <v>588</v>
      </c>
      <c r="K195" t="s">
        <v>1880</v>
      </c>
      <c r="L195" t="s">
        <v>1911</v>
      </c>
      <c r="M195" t="s">
        <v>63</v>
      </c>
      <c r="N195">
        <f>Main5[[#This Row],[Quantity]]*Main5[[#This Row],[Unit Price]]</f>
        <v>1000.58</v>
      </c>
      <c r="O195">
        <f>Main5[[#This Row],[Unit Price]]-Main5[[#This Row],[Unit Price]]*0.2</f>
        <v>400.23200000000003</v>
      </c>
      <c r="P195">
        <f>Main5[[#This Row],[Total Price]]-Main5[[#This Row],[Cost Price]]</f>
        <v>600.34799999999996</v>
      </c>
      <c r="Q195" t="str">
        <f>TEXT(Main5[[#This Row],[Date]],"mmm")</f>
        <v>Sep</v>
      </c>
    </row>
    <row r="196" spans="1:17" x14ac:dyDescent="0.25">
      <c r="A196" t="s">
        <v>1813</v>
      </c>
      <c r="B196" t="s">
        <v>2781</v>
      </c>
      <c r="C196" t="s">
        <v>1814</v>
      </c>
      <c r="D196" t="s">
        <v>13</v>
      </c>
      <c r="E196" t="s">
        <v>1883</v>
      </c>
      <c r="F196" t="s">
        <v>2782</v>
      </c>
      <c r="G196" t="s">
        <v>1745</v>
      </c>
      <c r="H196" t="s">
        <v>15</v>
      </c>
      <c r="I196" t="s">
        <v>75</v>
      </c>
      <c r="J196" t="s">
        <v>1815</v>
      </c>
      <c r="K196" t="s">
        <v>1883</v>
      </c>
      <c r="L196" t="s">
        <v>1881</v>
      </c>
      <c r="M196" t="s">
        <v>10</v>
      </c>
      <c r="N196">
        <f>Main5[[#This Row],[Quantity]]*Main5[[#This Row],[Unit Price]]</f>
        <v>993.24</v>
      </c>
      <c r="O196">
        <f>Main5[[#This Row],[Unit Price]]-Main5[[#This Row],[Unit Price]]*0.2</f>
        <v>397.29599999999999</v>
      </c>
      <c r="P196">
        <f>Main5[[#This Row],[Total Price]]-Main5[[#This Row],[Cost Price]]</f>
        <v>595.94399999999996</v>
      </c>
      <c r="Q196" t="str">
        <f>TEXT(Main5[[#This Row],[Date]],"mmm")</f>
        <v>Sep</v>
      </c>
    </row>
    <row r="197" spans="1:17" x14ac:dyDescent="0.25">
      <c r="A197" t="s">
        <v>929</v>
      </c>
      <c r="B197" t="s">
        <v>2338</v>
      </c>
      <c r="C197" t="s">
        <v>930</v>
      </c>
      <c r="D197" t="s">
        <v>60</v>
      </c>
      <c r="E197" t="s">
        <v>1883</v>
      </c>
      <c r="F197" t="s">
        <v>2339</v>
      </c>
      <c r="G197" t="s">
        <v>931</v>
      </c>
      <c r="H197" t="s">
        <v>22</v>
      </c>
      <c r="I197" t="s">
        <v>30</v>
      </c>
      <c r="J197" t="s">
        <v>932</v>
      </c>
      <c r="K197" t="s">
        <v>1880</v>
      </c>
      <c r="L197" t="s">
        <v>1881</v>
      </c>
      <c r="M197" t="s">
        <v>10</v>
      </c>
      <c r="N197">
        <f>Main5[[#This Row],[Quantity]]*Main5[[#This Row],[Unit Price]]</f>
        <v>987.76</v>
      </c>
      <c r="O197">
        <f>Main5[[#This Row],[Unit Price]]-Main5[[#This Row],[Unit Price]]*0.2</f>
        <v>395.10399999999998</v>
      </c>
      <c r="P197">
        <f>Main5[[#This Row],[Total Price]]-Main5[[#This Row],[Cost Price]]</f>
        <v>592.65599999999995</v>
      </c>
      <c r="Q197" t="str">
        <f>TEXT(Main5[[#This Row],[Date]],"mmm")</f>
        <v>Feb</v>
      </c>
    </row>
    <row r="198" spans="1:17" x14ac:dyDescent="0.25">
      <c r="A198" t="s">
        <v>1616</v>
      </c>
      <c r="B198" t="s">
        <v>2677</v>
      </c>
      <c r="C198" t="s">
        <v>1617</v>
      </c>
      <c r="D198" t="s">
        <v>5</v>
      </c>
      <c r="E198" t="s">
        <v>1883</v>
      </c>
      <c r="F198" t="s">
        <v>2678</v>
      </c>
      <c r="G198" t="s">
        <v>1376</v>
      </c>
      <c r="H198" t="s">
        <v>15</v>
      </c>
      <c r="I198" t="s">
        <v>30</v>
      </c>
      <c r="J198" t="s">
        <v>1618</v>
      </c>
      <c r="K198" t="s">
        <v>1900</v>
      </c>
      <c r="L198" t="s">
        <v>1881</v>
      </c>
      <c r="M198" t="s">
        <v>17</v>
      </c>
      <c r="N198">
        <f>Main5[[#This Row],[Quantity]]*Main5[[#This Row],[Unit Price]]</f>
        <v>987.26</v>
      </c>
      <c r="O198">
        <f>Main5[[#This Row],[Unit Price]]-Main5[[#This Row],[Unit Price]]*0.2</f>
        <v>394.904</v>
      </c>
      <c r="P198">
        <f>Main5[[#This Row],[Total Price]]-Main5[[#This Row],[Cost Price]]</f>
        <v>592.35599999999999</v>
      </c>
      <c r="Q198" t="str">
        <f>TEXT(Main5[[#This Row],[Date]],"mmm")</f>
        <v>Aug</v>
      </c>
    </row>
    <row r="199" spans="1:17" x14ac:dyDescent="0.25">
      <c r="A199" t="s">
        <v>1772</v>
      </c>
      <c r="B199" t="s">
        <v>2759</v>
      </c>
      <c r="C199" t="s">
        <v>1773</v>
      </c>
      <c r="D199" t="s">
        <v>45</v>
      </c>
      <c r="E199" t="s">
        <v>1894</v>
      </c>
      <c r="F199" t="s">
        <v>2760</v>
      </c>
      <c r="G199" t="s">
        <v>1774</v>
      </c>
      <c r="H199" t="s">
        <v>22</v>
      </c>
      <c r="I199" t="s">
        <v>75</v>
      </c>
      <c r="J199" t="s">
        <v>1775</v>
      </c>
      <c r="K199" t="s">
        <v>1894</v>
      </c>
      <c r="L199" t="s">
        <v>1881</v>
      </c>
      <c r="M199" t="s">
        <v>10</v>
      </c>
      <c r="N199">
        <f>Main5[[#This Row],[Quantity]]*Main5[[#This Row],[Unit Price]]</f>
        <v>984.44</v>
      </c>
      <c r="O199">
        <f>Main5[[#This Row],[Unit Price]]-Main5[[#This Row],[Unit Price]]*0.2</f>
        <v>196.88800000000001</v>
      </c>
      <c r="P199">
        <f>Main5[[#This Row],[Total Price]]-Main5[[#This Row],[Cost Price]]</f>
        <v>787.55200000000002</v>
      </c>
      <c r="Q199" t="str">
        <f>TEXT(Main5[[#This Row],[Date]],"mmm")</f>
        <v>Mar</v>
      </c>
    </row>
    <row r="200" spans="1:17" x14ac:dyDescent="0.25">
      <c r="A200" t="s">
        <v>671</v>
      </c>
      <c r="B200" t="s">
        <v>2211</v>
      </c>
      <c r="C200" t="s">
        <v>672</v>
      </c>
      <c r="D200" t="s">
        <v>45</v>
      </c>
      <c r="E200" t="s">
        <v>1883</v>
      </c>
      <c r="F200" t="s">
        <v>2212</v>
      </c>
      <c r="G200" t="s">
        <v>673</v>
      </c>
      <c r="H200" t="s">
        <v>15</v>
      </c>
      <c r="I200" t="s">
        <v>23</v>
      </c>
      <c r="J200" t="s">
        <v>674</v>
      </c>
      <c r="K200" t="s">
        <v>1894</v>
      </c>
      <c r="L200" t="s">
        <v>1889</v>
      </c>
      <c r="M200" t="s">
        <v>63</v>
      </c>
      <c r="N200">
        <f>Main5[[#This Row],[Quantity]]*Main5[[#This Row],[Unit Price]]</f>
        <v>977.74</v>
      </c>
      <c r="O200">
        <f>Main5[[#This Row],[Unit Price]]-Main5[[#This Row],[Unit Price]]*0.2</f>
        <v>391.096</v>
      </c>
      <c r="P200">
        <f>Main5[[#This Row],[Total Price]]-Main5[[#This Row],[Cost Price]]</f>
        <v>586.64400000000001</v>
      </c>
      <c r="Q200" t="str">
        <f>TEXT(Main5[[#This Row],[Date]],"mmm")</f>
        <v>Mar</v>
      </c>
    </row>
    <row r="201" spans="1:17" x14ac:dyDescent="0.25">
      <c r="A201" t="s">
        <v>1571</v>
      </c>
      <c r="B201" t="s">
        <v>2655</v>
      </c>
      <c r="C201" t="s">
        <v>1572</v>
      </c>
      <c r="D201" t="s">
        <v>13</v>
      </c>
      <c r="E201" t="s">
        <v>1883</v>
      </c>
      <c r="F201" t="s">
        <v>2656</v>
      </c>
      <c r="G201" t="s">
        <v>1573</v>
      </c>
      <c r="H201" t="s">
        <v>22</v>
      </c>
      <c r="I201" t="s">
        <v>8</v>
      </c>
      <c r="J201" t="s">
        <v>1574</v>
      </c>
      <c r="K201" t="s">
        <v>1878</v>
      </c>
      <c r="L201" t="s">
        <v>1881</v>
      </c>
      <c r="M201" t="s">
        <v>25</v>
      </c>
      <c r="N201">
        <f>Main5[[#This Row],[Quantity]]*Main5[[#This Row],[Unit Price]]</f>
        <v>970.74</v>
      </c>
      <c r="O201">
        <f>Main5[[#This Row],[Unit Price]]-Main5[[#This Row],[Unit Price]]*0.2</f>
        <v>388.29599999999999</v>
      </c>
      <c r="P201">
        <f>Main5[[#This Row],[Total Price]]-Main5[[#This Row],[Cost Price]]</f>
        <v>582.44399999999996</v>
      </c>
      <c r="Q201" t="str">
        <f>TEXT(Main5[[#This Row],[Date]],"mmm")</f>
        <v>Jun</v>
      </c>
    </row>
    <row r="202" spans="1:17" x14ac:dyDescent="0.25">
      <c r="A202" t="s">
        <v>1521</v>
      </c>
      <c r="B202" t="s">
        <v>2629</v>
      </c>
      <c r="C202" t="s">
        <v>1522</v>
      </c>
      <c r="D202" t="s">
        <v>20</v>
      </c>
      <c r="E202" t="s">
        <v>1883</v>
      </c>
      <c r="F202" t="s">
        <v>2630</v>
      </c>
      <c r="G202" t="s">
        <v>1523</v>
      </c>
      <c r="H202" t="s">
        <v>15</v>
      </c>
      <c r="I202" t="s">
        <v>8</v>
      </c>
      <c r="J202" t="s">
        <v>1524</v>
      </c>
      <c r="K202" t="s">
        <v>1883</v>
      </c>
      <c r="L202" t="s">
        <v>1911</v>
      </c>
      <c r="M202" t="s">
        <v>63</v>
      </c>
      <c r="N202">
        <f>Main5[[#This Row],[Quantity]]*Main5[[#This Row],[Unit Price]]</f>
        <v>951.56</v>
      </c>
      <c r="O202">
        <f>Main5[[#This Row],[Unit Price]]-Main5[[#This Row],[Unit Price]]*0.2</f>
        <v>380.62399999999997</v>
      </c>
      <c r="P202">
        <f>Main5[[#This Row],[Total Price]]-Main5[[#This Row],[Cost Price]]</f>
        <v>570.93599999999992</v>
      </c>
      <c r="Q202" t="str">
        <f>TEXT(Main5[[#This Row],[Date]],"mmm")</f>
        <v>Jul</v>
      </c>
    </row>
    <row r="203" spans="1:17" x14ac:dyDescent="0.25">
      <c r="A203" t="s">
        <v>431</v>
      </c>
      <c r="B203" t="s">
        <v>2093</v>
      </c>
      <c r="C203" t="s">
        <v>432</v>
      </c>
      <c r="D203" t="s">
        <v>45</v>
      </c>
      <c r="E203" t="s">
        <v>1878</v>
      </c>
      <c r="F203" t="s">
        <v>2094</v>
      </c>
      <c r="G203" t="s">
        <v>433</v>
      </c>
      <c r="H203" t="s">
        <v>52</v>
      </c>
      <c r="I203" t="s">
        <v>8</v>
      </c>
      <c r="J203" t="s">
        <v>434</v>
      </c>
      <c r="K203" t="s">
        <v>1903</v>
      </c>
      <c r="L203" t="s">
        <v>1889</v>
      </c>
      <c r="M203" t="s">
        <v>10</v>
      </c>
      <c r="N203">
        <f>Main5[[#This Row],[Quantity]]*Main5[[#This Row],[Unit Price]]</f>
        <v>950.40000000000009</v>
      </c>
      <c r="O203">
        <f>Main5[[#This Row],[Unit Price]]-Main5[[#This Row],[Unit Price]]*0.2</f>
        <v>152.06400000000002</v>
      </c>
      <c r="P203">
        <f>Main5[[#This Row],[Total Price]]-Main5[[#This Row],[Cost Price]]</f>
        <v>798.33600000000001</v>
      </c>
      <c r="Q203" t="str">
        <f>TEXT(Main5[[#This Row],[Date]],"mmm")</f>
        <v>Jan</v>
      </c>
    </row>
    <row r="204" spans="1:17" x14ac:dyDescent="0.25">
      <c r="A204" t="s">
        <v>646</v>
      </c>
      <c r="B204" t="s">
        <v>2199</v>
      </c>
      <c r="C204" t="s">
        <v>647</v>
      </c>
      <c r="D204" t="s">
        <v>5</v>
      </c>
      <c r="E204" t="s">
        <v>1878</v>
      </c>
      <c r="F204" t="s">
        <v>2200</v>
      </c>
      <c r="G204" t="s">
        <v>648</v>
      </c>
      <c r="H204" t="s">
        <v>7</v>
      </c>
      <c r="I204" t="s">
        <v>37</v>
      </c>
      <c r="J204" t="s">
        <v>649</v>
      </c>
      <c r="K204" t="s">
        <v>1888</v>
      </c>
      <c r="L204" t="s">
        <v>1881</v>
      </c>
      <c r="M204" t="s">
        <v>25</v>
      </c>
      <c r="N204">
        <f>Main5[[#This Row],[Quantity]]*Main5[[#This Row],[Unit Price]]</f>
        <v>931.4</v>
      </c>
      <c r="O204">
        <f>Main5[[#This Row],[Unit Price]]-Main5[[#This Row],[Unit Price]]*0.2</f>
        <v>149.024</v>
      </c>
      <c r="P204">
        <f>Main5[[#This Row],[Total Price]]-Main5[[#This Row],[Cost Price]]</f>
        <v>782.37599999999998</v>
      </c>
      <c r="Q204" t="str">
        <f>TEXT(Main5[[#This Row],[Date]],"mmm")</f>
        <v>Apr</v>
      </c>
    </row>
    <row r="205" spans="1:17" x14ac:dyDescent="0.25">
      <c r="A205" t="s">
        <v>540</v>
      </c>
      <c r="B205" t="s">
        <v>2147</v>
      </c>
      <c r="C205" t="s">
        <v>541</v>
      </c>
      <c r="D205" t="s">
        <v>45</v>
      </c>
      <c r="E205" t="s">
        <v>1883</v>
      </c>
      <c r="F205" t="s">
        <v>2148</v>
      </c>
      <c r="G205" t="s">
        <v>542</v>
      </c>
      <c r="H205" t="s">
        <v>22</v>
      </c>
      <c r="I205" t="s">
        <v>23</v>
      </c>
      <c r="J205" t="s">
        <v>543</v>
      </c>
      <c r="K205" t="s">
        <v>1883</v>
      </c>
      <c r="L205" t="s">
        <v>1881</v>
      </c>
      <c r="M205" t="s">
        <v>63</v>
      </c>
      <c r="N205">
        <f>Main5[[#This Row],[Quantity]]*Main5[[#This Row],[Unit Price]]</f>
        <v>930.36</v>
      </c>
      <c r="O205">
        <f>Main5[[#This Row],[Unit Price]]-Main5[[#This Row],[Unit Price]]*0.2</f>
        <v>372.14400000000001</v>
      </c>
      <c r="P205">
        <f>Main5[[#This Row],[Total Price]]-Main5[[#This Row],[Cost Price]]</f>
        <v>558.21600000000001</v>
      </c>
      <c r="Q205" t="str">
        <f>TEXT(Main5[[#This Row],[Date]],"mmm")</f>
        <v>May</v>
      </c>
    </row>
    <row r="206" spans="1:17" x14ac:dyDescent="0.25">
      <c r="A206" t="s">
        <v>161</v>
      </c>
      <c r="B206" t="s">
        <v>1959</v>
      </c>
      <c r="C206" t="s">
        <v>162</v>
      </c>
      <c r="D206" t="s">
        <v>5</v>
      </c>
      <c r="E206" t="s">
        <v>1883</v>
      </c>
      <c r="F206" t="s">
        <v>1960</v>
      </c>
      <c r="G206" t="s">
        <v>163</v>
      </c>
      <c r="H206" t="s">
        <v>15</v>
      </c>
      <c r="I206" t="s">
        <v>8</v>
      </c>
      <c r="J206" t="s">
        <v>164</v>
      </c>
      <c r="K206" t="s">
        <v>1883</v>
      </c>
      <c r="L206" t="s">
        <v>1881</v>
      </c>
      <c r="M206" t="s">
        <v>32</v>
      </c>
      <c r="N206">
        <f>Main5[[#This Row],[Quantity]]*Main5[[#This Row],[Unit Price]]</f>
        <v>930.3</v>
      </c>
      <c r="O206">
        <f>Main5[[#This Row],[Unit Price]]-Main5[[#This Row],[Unit Price]]*0.2</f>
        <v>372.12</v>
      </c>
      <c r="P206">
        <f>Main5[[#This Row],[Total Price]]-Main5[[#This Row],[Cost Price]]</f>
        <v>558.17999999999995</v>
      </c>
      <c r="Q206" t="str">
        <f>TEXT(Main5[[#This Row],[Date]],"mmm")</f>
        <v>Dec</v>
      </c>
    </row>
    <row r="207" spans="1:17" x14ac:dyDescent="0.25">
      <c r="A207" t="s">
        <v>423</v>
      </c>
      <c r="B207" t="s">
        <v>2089</v>
      </c>
      <c r="C207" t="s">
        <v>424</v>
      </c>
      <c r="D207" t="s">
        <v>60</v>
      </c>
      <c r="E207" t="s">
        <v>1885</v>
      </c>
      <c r="F207" t="s">
        <v>2090</v>
      </c>
      <c r="G207" t="s">
        <v>425</v>
      </c>
      <c r="H207" t="s">
        <v>15</v>
      </c>
      <c r="I207" t="s">
        <v>23</v>
      </c>
      <c r="J207" t="s">
        <v>426</v>
      </c>
      <c r="K207" t="s">
        <v>1880</v>
      </c>
      <c r="L207" t="s">
        <v>1889</v>
      </c>
      <c r="M207" t="s">
        <v>63</v>
      </c>
      <c r="N207">
        <f>Main5[[#This Row],[Quantity]]*Main5[[#This Row],[Unit Price]]</f>
        <v>927.66000000000008</v>
      </c>
      <c r="O207">
        <f>Main5[[#This Row],[Unit Price]]-Main5[[#This Row],[Unit Price]]*0.2</f>
        <v>247.37600000000003</v>
      </c>
      <c r="P207">
        <f>Main5[[#This Row],[Total Price]]-Main5[[#This Row],[Cost Price]]</f>
        <v>680.28400000000011</v>
      </c>
      <c r="Q207" t="str">
        <f>TEXT(Main5[[#This Row],[Date]],"mmm")</f>
        <v>May</v>
      </c>
    </row>
    <row r="208" spans="1:17" x14ac:dyDescent="0.25">
      <c r="A208" t="s">
        <v>1603</v>
      </c>
      <c r="B208" t="s">
        <v>2671</v>
      </c>
      <c r="C208" t="s">
        <v>1604</v>
      </c>
      <c r="D208" t="s">
        <v>60</v>
      </c>
      <c r="E208" t="s">
        <v>1885</v>
      </c>
      <c r="F208" t="s">
        <v>2672</v>
      </c>
      <c r="G208" t="s">
        <v>1605</v>
      </c>
      <c r="H208" t="s">
        <v>52</v>
      </c>
      <c r="I208" t="s">
        <v>75</v>
      </c>
      <c r="J208" t="s">
        <v>1606</v>
      </c>
      <c r="K208" t="s">
        <v>1885</v>
      </c>
      <c r="L208" t="s">
        <v>1889</v>
      </c>
      <c r="M208" t="s">
        <v>32</v>
      </c>
      <c r="N208">
        <f>Main5[[#This Row],[Quantity]]*Main5[[#This Row],[Unit Price]]</f>
        <v>924.03</v>
      </c>
      <c r="O208">
        <f>Main5[[#This Row],[Unit Price]]-Main5[[#This Row],[Unit Price]]*0.2</f>
        <v>246.40799999999999</v>
      </c>
      <c r="P208">
        <f>Main5[[#This Row],[Total Price]]-Main5[[#This Row],[Cost Price]]</f>
        <v>677.62199999999996</v>
      </c>
      <c r="Q208" t="str">
        <f>TEXT(Main5[[#This Row],[Date]],"mmm")</f>
        <v>Jul</v>
      </c>
    </row>
    <row r="209" spans="1:17" x14ac:dyDescent="0.25">
      <c r="A209" t="s">
        <v>1578</v>
      </c>
      <c r="B209" t="s">
        <v>2659</v>
      </c>
      <c r="C209" t="s">
        <v>1579</v>
      </c>
      <c r="D209" t="s">
        <v>20</v>
      </c>
      <c r="E209" t="s">
        <v>1883</v>
      </c>
      <c r="F209" t="s">
        <v>2660</v>
      </c>
      <c r="G209" t="s">
        <v>1580</v>
      </c>
      <c r="H209" t="s">
        <v>52</v>
      </c>
      <c r="I209" t="s">
        <v>37</v>
      </c>
      <c r="J209" t="s">
        <v>1581</v>
      </c>
      <c r="K209" t="s">
        <v>1878</v>
      </c>
      <c r="L209" t="s">
        <v>1881</v>
      </c>
      <c r="M209" t="s">
        <v>63</v>
      </c>
      <c r="N209">
        <f>Main5[[#This Row],[Quantity]]*Main5[[#This Row],[Unit Price]]</f>
        <v>922.74</v>
      </c>
      <c r="O209">
        <f>Main5[[#This Row],[Unit Price]]-Main5[[#This Row],[Unit Price]]*0.2</f>
        <v>369.096</v>
      </c>
      <c r="P209">
        <f>Main5[[#This Row],[Total Price]]-Main5[[#This Row],[Cost Price]]</f>
        <v>553.64400000000001</v>
      </c>
      <c r="Q209" t="str">
        <f>TEXT(Main5[[#This Row],[Date]],"mmm")</f>
        <v>Jun</v>
      </c>
    </row>
    <row r="210" spans="1:17" x14ac:dyDescent="0.25">
      <c r="A210" t="s">
        <v>1395</v>
      </c>
      <c r="B210" t="s">
        <v>2567</v>
      </c>
      <c r="C210" t="s">
        <v>1396</v>
      </c>
      <c r="D210" t="s">
        <v>35</v>
      </c>
      <c r="E210" t="s">
        <v>1883</v>
      </c>
      <c r="F210" t="s">
        <v>2568</v>
      </c>
      <c r="G210" t="s">
        <v>1397</v>
      </c>
      <c r="H210" t="s">
        <v>47</v>
      </c>
      <c r="I210" t="s">
        <v>30</v>
      </c>
      <c r="J210" t="s">
        <v>1398</v>
      </c>
      <c r="K210" t="s">
        <v>1894</v>
      </c>
      <c r="L210" t="s">
        <v>1906</v>
      </c>
      <c r="M210" t="s">
        <v>25</v>
      </c>
      <c r="N210">
        <f>Main5[[#This Row],[Quantity]]*Main5[[#This Row],[Unit Price]]</f>
        <v>922.26</v>
      </c>
      <c r="O210">
        <f>Main5[[#This Row],[Unit Price]]-Main5[[#This Row],[Unit Price]]*0.2</f>
        <v>368.904</v>
      </c>
      <c r="P210">
        <f>Main5[[#This Row],[Total Price]]-Main5[[#This Row],[Cost Price]]</f>
        <v>553.35599999999999</v>
      </c>
      <c r="Q210" t="str">
        <f>TEXT(Main5[[#This Row],[Date]],"mmm")</f>
        <v>Sep</v>
      </c>
    </row>
    <row r="211" spans="1:17" x14ac:dyDescent="0.25">
      <c r="A211" t="s">
        <v>1311</v>
      </c>
      <c r="B211" t="s">
        <v>2523</v>
      </c>
      <c r="C211" t="s">
        <v>1312</v>
      </c>
      <c r="D211" t="s">
        <v>35</v>
      </c>
      <c r="E211" t="s">
        <v>1885</v>
      </c>
      <c r="F211" t="s">
        <v>2524</v>
      </c>
      <c r="G211" t="s">
        <v>1221</v>
      </c>
      <c r="H211" t="s">
        <v>47</v>
      </c>
      <c r="I211" t="s">
        <v>8</v>
      </c>
      <c r="J211" t="s">
        <v>1313</v>
      </c>
      <c r="K211" t="s">
        <v>1885</v>
      </c>
      <c r="L211" t="s">
        <v>1911</v>
      </c>
      <c r="M211" t="s">
        <v>10</v>
      </c>
      <c r="N211">
        <f>Main5[[#This Row],[Quantity]]*Main5[[#This Row],[Unit Price]]</f>
        <v>912.44999999999993</v>
      </c>
      <c r="O211">
        <f>Main5[[#This Row],[Unit Price]]-Main5[[#This Row],[Unit Price]]*0.2</f>
        <v>243.32</v>
      </c>
      <c r="P211">
        <f>Main5[[#This Row],[Total Price]]-Main5[[#This Row],[Cost Price]]</f>
        <v>669.12999999999988</v>
      </c>
      <c r="Q211" t="str">
        <f>TEXT(Main5[[#This Row],[Date]],"mmm")</f>
        <v>Apr</v>
      </c>
    </row>
    <row r="212" spans="1:17" x14ac:dyDescent="0.25">
      <c r="A212" t="s">
        <v>1011</v>
      </c>
      <c r="B212" t="s">
        <v>2378</v>
      </c>
      <c r="C212" t="s">
        <v>1012</v>
      </c>
      <c r="D212" t="s">
        <v>28</v>
      </c>
      <c r="E212" t="s">
        <v>1894</v>
      </c>
      <c r="F212" t="s">
        <v>2379</v>
      </c>
      <c r="G212" t="s">
        <v>1013</v>
      </c>
      <c r="H212" t="s">
        <v>15</v>
      </c>
      <c r="I212" t="s">
        <v>37</v>
      </c>
      <c r="J212" t="s">
        <v>1014</v>
      </c>
      <c r="K212" t="s">
        <v>1880</v>
      </c>
      <c r="L212" t="s">
        <v>1911</v>
      </c>
      <c r="M212" t="s">
        <v>32</v>
      </c>
      <c r="N212">
        <f>Main5[[#This Row],[Quantity]]*Main5[[#This Row],[Unit Price]]</f>
        <v>899</v>
      </c>
      <c r="O212">
        <f>Main5[[#This Row],[Unit Price]]-Main5[[#This Row],[Unit Price]]*0.2</f>
        <v>179.8</v>
      </c>
      <c r="P212">
        <f>Main5[[#This Row],[Total Price]]-Main5[[#This Row],[Cost Price]]</f>
        <v>719.2</v>
      </c>
      <c r="Q212" t="str">
        <f>TEXT(Main5[[#This Row],[Date]],"mmm")</f>
        <v>Mar</v>
      </c>
    </row>
    <row r="213" spans="1:17" x14ac:dyDescent="0.25">
      <c r="A213" t="s">
        <v>1699</v>
      </c>
      <c r="B213" t="s">
        <v>2721</v>
      </c>
      <c r="C213" t="s">
        <v>1700</v>
      </c>
      <c r="D213" t="s">
        <v>20</v>
      </c>
      <c r="E213" t="s">
        <v>1883</v>
      </c>
      <c r="F213" t="s">
        <v>2722</v>
      </c>
      <c r="G213" t="s">
        <v>1701</v>
      </c>
      <c r="H213" t="s">
        <v>22</v>
      </c>
      <c r="I213" t="s">
        <v>75</v>
      </c>
      <c r="J213" t="s">
        <v>1702</v>
      </c>
      <c r="K213" t="s">
        <v>1900</v>
      </c>
      <c r="L213" t="s">
        <v>1906</v>
      </c>
      <c r="M213" t="s">
        <v>10</v>
      </c>
      <c r="N213">
        <f>Main5[[#This Row],[Quantity]]*Main5[[#This Row],[Unit Price]]</f>
        <v>897.7</v>
      </c>
      <c r="O213">
        <f>Main5[[#This Row],[Unit Price]]-Main5[[#This Row],[Unit Price]]*0.2</f>
        <v>359.08000000000004</v>
      </c>
      <c r="P213">
        <f>Main5[[#This Row],[Total Price]]-Main5[[#This Row],[Cost Price]]</f>
        <v>538.62</v>
      </c>
      <c r="Q213" t="str">
        <f>TEXT(Main5[[#This Row],[Date]],"mmm")</f>
        <v>Jan</v>
      </c>
    </row>
    <row r="214" spans="1:17" x14ac:dyDescent="0.25">
      <c r="A214" t="s">
        <v>1623</v>
      </c>
      <c r="B214" t="s">
        <v>2681</v>
      </c>
      <c r="C214" t="s">
        <v>1624</v>
      </c>
      <c r="D214" t="s">
        <v>60</v>
      </c>
      <c r="E214" t="s">
        <v>1894</v>
      </c>
      <c r="F214" t="s">
        <v>2682</v>
      </c>
      <c r="G214" t="s">
        <v>1625</v>
      </c>
      <c r="H214" t="s">
        <v>52</v>
      </c>
      <c r="I214" t="s">
        <v>37</v>
      </c>
      <c r="J214" t="s">
        <v>1626</v>
      </c>
      <c r="K214" t="s">
        <v>1880</v>
      </c>
      <c r="L214" t="s">
        <v>1906</v>
      </c>
      <c r="M214" t="s">
        <v>63</v>
      </c>
      <c r="N214">
        <f>Main5[[#This Row],[Quantity]]*Main5[[#This Row],[Unit Price]]</f>
        <v>887.84</v>
      </c>
      <c r="O214">
        <f>Main5[[#This Row],[Unit Price]]-Main5[[#This Row],[Unit Price]]*0.2</f>
        <v>177.56800000000001</v>
      </c>
      <c r="P214">
        <f>Main5[[#This Row],[Total Price]]-Main5[[#This Row],[Cost Price]]</f>
        <v>710.27200000000005</v>
      </c>
      <c r="Q214" t="str">
        <f>TEXT(Main5[[#This Row],[Date]],"mmm")</f>
        <v>Mar</v>
      </c>
    </row>
    <row r="215" spans="1:17" x14ac:dyDescent="0.25">
      <c r="A215" t="s">
        <v>1662</v>
      </c>
      <c r="B215" t="s">
        <v>2701</v>
      </c>
      <c r="C215" t="s">
        <v>1663</v>
      </c>
      <c r="D215" t="s">
        <v>35</v>
      </c>
      <c r="E215" t="s">
        <v>1883</v>
      </c>
      <c r="F215" t="s">
        <v>2702</v>
      </c>
      <c r="G215" t="s">
        <v>1664</v>
      </c>
      <c r="H215" t="s">
        <v>22</v>
      </c>
      <c r="I215" t="s">
        <v>37</v>
      </c>
      <c r="J215" t="s">
        <v>1665</v>
      </c>
      <c r="K215" t="s">
        <v>1878</v>
      </c>
      <c r="L215" t="s">
        <v>1906</v>
      </c>
      <c r="M215" t="s">
        <v>32</v>
      </c>
      <c r="N215">
        <f>Main5[[#This Row],[Quantity]]*Main5[[#This Row],[Unit Price]]</f>
        <v>886.44</v>
      </c>
      <c r="O215">
        <f>Main5[[#This Row],[Unit Price]]-Main5[[#This Row],[Unit Price]]*0.2</f>
        <v>354.57600000000002</v>
      </c>
      <c r="P215">
        <f>Main5[[#This Row],[Total Price]]-Main5[[#This Row],[Cost Price]]</f>
        <v>531.86400000000003</v>
      </c>
      <c r="Q215" t="str">
        <f>TEXT(Main5[[#This Row],[Date]],"mmm")</f>
        <v>Sep</v>
      </c>
    </row>
    <row r="216" spans="1:17" x14ac:dyDescent="0.25">
      <c r="A216" t="s">
        <v>395</v>
      </c>
      <c r="B216" t="s">
        <v>2075</v>
      </c>
      <c r="C216" t="s">
        <v>396</v>
      </c>
      <c r="D216" t="s">
        <v>13</v>
      </c>
      <c r="E216" t="s">
        <v>1894</v>
      </c>
      <c r="F216" t="s">
        <v>2076</v>
      </c>
      <c r="G216" t="s">
        <v>397</v>
      </c>
      <c r="H216" t="s">
        <v>22</v>
      </c>
      <c r="I216" t="s">
        <v>23</v>
      </c>
      <c r="J216" t="s">
        <v>398</v>
      </c>
      <c r="K216" t="s">
        <v>1903</v>
      </c>
      <c r="L216" t="s">
        <v>1881</v>
      </c>
      <c r="M216" t="s">
        <v>25</v>
      </c>
      <c r="N216">
        <f>Main5[[#This Row],[Quantity]]*Main5[[#This Row],[Unit Price]]</f>
        <v>873.72</v>
      </c>
      <c r="O216">
        <f>Main5[[#This Row],[Unit Price]]-Main5[[#This Row],[Unit Price]]*0.2</f>
        <v>174.744</v>
      </c>
      <c r="P216">
        <f>Main5[[#This Row],[Total Price]]-Main5[[#This Row],[Cost Price]]</f>
        <v>698.976</v>
      </c>
      <c r="Q216" t="str">
        <f>TEXT(Main5[[#This Row],[Date]],"mmm")</f>
        <v>Jan</v>
      </c>
    </row>
    <row r="217" spans="1:17" x14ac:dyDescent="0.25">
      <c r="A217" t="s">
        <v>1062</v>
      </c>
      <c r="B217" t="s">
        <v>2402</v>
      </c>
      <c r="C217" t="s">
        <v>1063</v>
      </c>
      <c r="D217" t="s">
        <v>28</v>
      </c>
      <c r="E217" t="s">
        <v>1878</v>
      </c>
      <c r="F217" t="s">
        <v>2403</v>
      </c>
      <c r="G217" t="s">
        <v>1064</v>
      </c>
      <c r="H217" t="s">
        <v>7</v>
      </c>
      <c r="I217" t="s">
        <v>75</v>
      </c>
      <c r="J217" t="s">
        <v>1065</v>
      </c>
      <c r="K217" t="s">
        <v>1888</v>
      </c>
      <c r="L217" t="s">
        <v>1911</v>
      </c>
      <c r="M217" t="s">
        <v>10</v>
      </c>
      <c r="N217">
        <f>Main5[[#This Row],[Quantity]]*Main5[[#This Row],[Unit Price]]</f>
        <v>869.80000000000007</v>
      </c>
      <c r="O217">
        <f>Main5[[#This Row],[Unit Price]]-Main5[[#This Row],[Unit Price]]*0.2</f>
        <v>139.16800000000001</v>
      </c>
      <c r="P217">
        <f>Main5[[#This Row],[Total Price]]-Main5[[#This Row],[Cost Price]]</f>
        <v>730.63200000000006</v>
      </c>
      <c r="Q217" t="str">
        <f>TEXT(Main5[[#This Row],[Date]],"mmm")</f>
        <v>Aug</v>
      </c>
    </row>
    <row r="218" spans="1:17" x14ac:dyDescent="0.25">
      <c r="A218" t="s">
        <v>967</v>
      </c>
      <c r="B218" t="s">
        <v>2356</v>
      </c>
      <c r="C218" t="s">
        <v>968</v>
      </c>
      <c r="D218" t="s">
        <v>28</v>
      </c>
      <c r="E218" t="s">
        <v>1883</v>
      </c>
      <c r="F218" t="s">
        <v>2357</v>
      </c>
      <c r="G218" t="s">
        <v>969</v>
      </c>
      <c r="H218" t="s">
        <v>52</v>
      </c>
      <c r="I218" t="s">
        <v>37</v>
      </c>
      <c r="J218" t="s">
        <v>970</v>
      </c>
      <c r="K218" t="s">
        <v>1880</v>
      </c>
      <c r="L218" t="s">
        <v>1881</v>
      </c>
      <c r="M218" t="s">
        <v>10</v>
      </c>
      <c r="N218">
        <f>Main5[[#This Row],[Quantity]]*Main5[[#This Row],[Unit Price]]</f>
        <v>868.6</v>
      </c>
      <c r="O218">
        <f>Main5[[#This Row],[Unit Price]]-Main5[[#This Row],[Unit Price]]*0.2</f>
        <v>347.44</v>
      </c>
      <c r="P218">
        <f>Main5[[#This Row],[Total Price]]-Main5[[#This Row],[Cost Price]]</f>
        <v>521.16000000000008</v>
      </c>
      <c r="Q218" t="str">
        <f>TEXT(Main5[[#This Row],[Date]],"mmm")</f>
        <v>Jul</v>
      </c>
    </row>
    <row r="219" spans="1:17" x14ac:dyDescent="0.25">
      <c r="A219" t="s">
        <v>687</v>
      </c>
      <c r="B219" t="s">
        <v>2219</v>
      </c>
      <c r="C219" t="s">
        <v>688</v>
      </c>
      <c r="D219" t="s">
        <v>60</v>
      </c>
      <c r="E219" t="s">
        <v>1894</v>
      </c>
      <c r="F219" t="s">
        <v>2220</v>
      </c>
      <c r="G219" t="s">
        <v>689</v>
      </c>
      <c r="H219" t="s">
        <v>52</v>
      </c>
      <c r="I219" t="s">
        <v>37</v>
      </c>
      <c r="J219" t="s">
        <v>690</v>
      </c>
      <c r="K219" t="s">
        <v>1888</v>
      </c>
      <c r="L219" t="s">
        <v>1911</v>
      </c>
      <c r="M219" t="s">
        <v>25</v>
      </c>
      <c r="N219">
        <f>Main5[[#This Row],[Quantity]]*Main5[[#This Row],[Unit Price]]</f>
        <v>868.52</v>
      </c>
      <c r="O219">
        <f>Main5[[#This Row],[Unit Price]]-Main5[[#This Row],[Unit Price]]*0.2</f>
        <v>173.70400000000001</v>
      </c>
      <c r="P219">
        <f>Main5[[#This Row],[Total Price]]-Main5[[#This Row],[Cost Price]]</f>
        <v>694.81600000000003</v>
      </c>
      <c r="Q219" t="str">
        <f>TEXT(Main5[[#This Row],[Date]],"mmm")</f>
        <v>Jan</v>
      </c>
    </row>
    <row r="220" spans="1:17" x14ac:dyDescent="0.25">
      <c r="A220" t="s">
        <v>846</v>
      </c>
      <c r="B220" t="s">
        <v>2298</v>
      </c>
      <c r="C220" t="s">
        <v>847</v>
      </c>
      <c r="D220" t="s">
        <v>13</v>
      </c>
      <c r="E220" t="s">
        <v>1878</v>
      </c>
      <c r="F220" t="s">
        <v>2299</v>
      </c>
      <c r="G220" t="s">
        <v>848</v>
      </c>
      <c r="H220" t="s">
        <v>47</v>
      </c>
      <c r="I220" t="s">
        <v>37</v>
      </c>
      <c r="J220" t="s">
        <v>849</v>
      </c>
      <c r="K220" t="s">
        <v>1903</v>
      </c>
      <c r="L220" t="s">
        <v>1881</v>
      </c>
      <c r="M220" t="s">
        <v>25</v>
      </c>
      <c r="N220">
        <f>Main5[[#This Row],[Quantity]]*Main5[[#This Row],[Unit Price]]</f>
        <v>868.25</v>
      </c>
      <c r="O220">
        <f>Main5[[#This Row],[Unit Price]]-Main5[[#This Row],[Unit Price]]*0.2</f>
        <v>138.92000000000002</v>
      </c>
      <c r="P220">
        <f>Main5[[#This Row],[Total Price]]-Main5[[#This Row],[Cost Price]]</f>
        <v>729.32999999999993</v>
      </c>
      <c r="Q220" t="str">
        <f>TEXT(Main5[[#This Row],[Date]],"mmm")</f>
        <v>May</v>
      </c>
    </row>
    <row r="221" spans="1:17" x14ac:dyDescent="0.25">
      <c r="A221" t="s">
        <v>650</v>
      </c>
      <c r="B221" t="s">
        <v>2201</v>
      </c>
      <c r="C221" t="s">
        <v>651</v>
      </c>
      <c r="D221" t="s">
        <v>20</v>
      </c>
      <c r="E221" t="s">
        <v>1894</v>
      </c>
      <c r="F221" t="s">
        <v>2202</v>
      </c>
      <c r="G221" t="s">
        <v>652</v>
      </c>
      <c r="H221" t="s">
        <v>47</v>
      </c>
      <c r="I221" t="s">
        <v>23</v>
      </c>
      <c r="J221" t="s">
        <v>653</v>
      </c>
      <c r="K221" t="s">
        <v>1880</v>
      </c>
      <c r="L221" t="s">
        <v>1906</v>
      </c>
      <c r="M221" t="s">
        <v>17</v>
      </c>
      <c r="N221">
        <f>Main5[[#This Row],[Quantity]]*Main5[[#This Row],[Unit Price]]</f>
        <v>858.16</v>
      </c>
      <c r="O221">
        <f>Main5[[#This Row],[Unit Price]]-Main5[[#This Row],[Unit Price]]*0.2</f>
        <v>171.63200000000001</v>
      </c>
      <c r="P221">
        <f>Main5[[#This Row],[Total Price]]-Main5[[#This Row],[Cost Price]]</f>
        <v>686.52800000000002</v>
      </c>
      <c r="Q221" t="str">
        <f>TEXT(Main5[[#This Row],[Date]],"mmm")</f>
        <v>Apr</v>
      </c>
    </row>
    <row r="222" spans="1:17" x14ac:dyDescent="0.25">
      <c r="A222" t="s">
        <v>1674</v>
      </c>
      <c r="B222" t="s">
        <v>2707</v>
      </c>
      <c r="C222" t="s">
        <v>1675</v>
      </c>
      <c r="D222" t="s">
        <v>35</v>
      </c>
      <c r="E222" t="s">
        <v>1894</v>
      </c>
      <c r="F222" t="s">
        <v>2708</v>
      </c>
      <c r="G222" t="s">
        <v>1655</v>
      </c>
      <c r="H222" t="s">
        <v>7</v>
      </c>
      <c r="I222" t="s">
        <v>23</v>
      </c>
      <c r="J222" t="s">
        <v>1676</v>
      </c>
      <c r="K222" t="s">
        <v>1880</v>
      </c>
      <c r="L222" t="s">
        <v>1911</v>
      </c>
      <c r="M222" t="s">
        <v>17</v>
      </c>
      <c r="N222">
        <f>Main5[[#This Row],[Quantity]]*Main5[[#This Row],[Unit Price]]</f>
        <v>857.4</v>
      </c>
      <c r="O222">
        <f>Main5[[#This Row],[Unit Price]]-Main5[[#This Row],[Unit Price]]*0.2</f>
        <v>171.48</v>
      </c>
      <c r="P222">
        <f>Main5[[#This Row],[Total Price]]-Main5[[#This Row],[Cost Price]]</f>
        <v>685.92</v>
      </c>
      <c r="Q222" t="str">
        <f>TEXT(Main5[[#This Row],[Date]],"mmm")</f>
        <v>Jun</v>
      </c>
    </row>
    <row r="223" spans="1:17" x14ac:dyDescent="0.25">
      <c r="A223" t="s">
        <v>141</v>
      </c>
      <c r="B223" t="s">
        <v>1948</v>
      </c>
      <c r="C223" t="s">
        <v>142</v>
      </c>
      <c r="D223" t="s">
        <v>5</v>
      </c>
      <c r="E223" t="s">
        <v>1883</v>
      </c>
      <c r="F223" t="s">
        <v>1949</v>
      </c>
      <c r="G223" t="s">
        <v>143</v>
      </c>
      <c r="H223" t="s">
        <v>15</v>
      </c>
      <c r="I223" t="s">
        <v>75</v>
      </c>
      <c r="J223" t="s">
        <v>144</v>
      </c>
      <c r="K223" t="s">
        <v>1878</v>
      </c>
      <c r="L223" t="s">
        <v>1881</v>
      </c>
      <c r="M223" t="s">
        <v>17</v>
      </c>
      <c r="N223">
        <f>Main5[[#This Row],[Quantity]]*Main5[[#This Row],[Unit Price]]</f>
        <v>853.4</v>
      </c>
      <c r="O223">
        <f>Main5[[#This Row],[Unit Price]]-Main5[[#This Row],[Unit Price]]*0.2</f>
        <v>341.36</v>
      </c>
      <c r="P223">
        <f>Main5[[#This Row],[Total Price]]-Main5[[#This Row],[Cost Price]]</f>
        <v>512.04</v>
      </c>
      <c r="Q223" t="str">
        <f>TEXT(Main5[[#This Row],[Date]],"mmm")</f>
        <v>Mar</v>
      </c>
    </row>
    <row r="224" spans="1:17" x14ac:dyDescent="0.25">
      <c r="A224" t="s">
        <v>1300</v>
      </c>
      <c r="B224" t="s">
        <v>2517</v>
      </c>
      <c r="C224" t="s">
        <v>1301</v>
      </c>
      <c r="D224" t="s">
        <v>45</v>
      </c>
      <c r="E224" t="s">
        <v>1883</v>
      </c>
      <c r="F224" t="s">
        <v>2518</v>
      </c>
      <c r="G224" t="s">
        <v>1302</v>
      </c>
      <c r="H224" t="s">
        <v>52</v>
      </c>
      <c r="I224" t="s">
        <v>30</v>
      </c>
      <c r="J224" t="s">
        <v>1303</v>
      </c>
      <c r="K224" t="s">
        <v>1883</v>
      </c>
      <c r="L224" t="s">
        <v>1911</v>
      </c>
      <c r="M224" t="s">
        <v>63</v>
      </c>
      <c r="N224">
        <f>Main5[[#This Row],[Quantity]]*Main5[[#This Row],[Unit Price]]</f>
        <v>850.06</v>
      </c>
      <c r="O224">
        <f>Main5[[#This Row],[Unit Price]]-Main5[[#This Row],[Unit Price]]*0.2</f>
        <v>340.024</v>
      </c>
      <c r="P224">
        <f>Main5[[#This Row],[Total Price]]-Main5[[#This Row],[Cost Price]]</f>
        <v>510.03599999999994</v>
      </c>
      <c r="Q224" t="str">
        <f>TEXT(Main5[[#This Row],[Date]],"mmm")</f>
        <v>Feb</v>
      </c>
    </row>
    <row r="225" spans="1:17" x14ac:dyDescent="0.25">
      <c r="A225" t="s">
        <v>1200</v>
      </c>
      <c r="B225" t="s">
        <v>2469</v>
      </c>
      <c r="C225" t="s">
        <v>1201</v>
      </c>
      <c r="D225" t="s">
        <v>20</v>
      </c>
      <c r="E225" t="s">
        <v>1883</v>
      </c>
      <c r="F225" t="s">
        <v>2470</v>
      </c>
      <c r="G225" t="s">
        <v>1202</v>
      </c>
      <c r="H225" t="s">
        <v>22</v>
      </c>
      <c r="I225" t="s">
        <v>30</v>
      </c>
      <c r="J225" t="s">
        <v>1203</v>
      </c>
      <c r="K225" t="s">
        <v>1900</v>
      </c>
      <c r="L225" t="s">
        <v>1906</v>
      </c>
      <c r="M225" t="s">
        <v>17</v>
      </c>
      <c r="N225">
        <f>Main5[[#This Row],[Quantity]]*Main5[[#This Row],[Unit Price]]</f>
        <v>848.64</v>
      </c>
      <c r="O225">
        <f>Main5[[#This Row],[Unit Price]]-Main5[[#This Row],[Unit Price]]*0.2</f>
        <v>339.45600000000002</v>
      </c>
      <c r="P225">
        <f>Main5[[#This Row],[Total Price]]-Main5[[#This Row],[Cost Price]]</f>
        <v>509.18399999999997</v>
      </c>
      <c r="Q225" t="str">
        <f>TEXT(Main5[[#This Row],[Date]],"mmm")</f>
        <v>Sep</v>
      </c>
    </row>
    <row r="226" spans="1:17" x14ac:dyDescent="0.25">
      <c r="A226" t="s">
        <v>1776</v>
      </c>
      <c r="B226" t="s">
        <v>2761</v>
      </c>
      <c r="C226" t="s">
        <v>1777</v>
      </c>
      <c r="D226" t="s">
        <v>13</v>
      </c>
      <c r="E226" t="s">
        <v>1883</v>
      </c>
      <c r="F226" t="s">
        <v>2762</v>
      </c>
      <c r="G226" t="s">
        <v>1778</v>
      </c>
      <c r="H226" t="s">
        <v>7</v>
      </c>
      <c r="I226" t="s">
        <v>75</v>
      </c>
      <c r="J226" t="s">
        <v>1779</v>
      </c>
      <c r="K226" t="s">
        <v>1883</v>
      </c>
      <c r="L226" t="s">
        <v>1881</v>
      </c>
      <c r="M226" t="s">
        <v>63</v>
      </c>
      <c r="N226">
        <f>Main5[[#This Row],[Quantity]]*Main5[[#This Row],[Unit Price]]</f>
        <v>836.52</v>
      </c>
      <c r="O226">
        <f>Main5[[#This Row],[Unit Price]]-Main5[[#This Row],[Unit Price]]*0.2</f>
        <v>334.608</v>
      </c>
      <c r="P226">
        <f>Main5[[#This Row],[Total Price]]-Main5[[#This Row],[Cost Price]]</f>
        <v>501.91199999999998</v>
      </c>
      <c r="Q226" t="str">
        <f>TEXT(Main5[[#This Row],[Date]],"mmm")</f>
        <v>Nov</v>
      </c>
    </row>
    <row r="227" spans="1:17" x14ac:dyDescent="0.25">
      <c r="A227" t="s">
        <v>464</v>
      </c>
      <c r="B227" t="s">
        <v>2109</v>
      </c>
      <c r="C227" t="s">
        <v>465</v>
      </c>
      <c r="D227" t="s">
        <v>60</v>
      </c>
      <c r="E227" t="s">
        <v>1885</v>
      </c>
      <c r="F227" t="s">
        <v>2110</v>
      </c>
      <c r="G227" t="s">
        <v>466</v>
      </c>
      <c r="H227" t="s">
        <v>15</v>
      </c>
      <c r="I227" t="s">
        <v>37</v>
      </c>
      <c r="J227" t="s">
        <v>467</v>
      </c>
      <c r="K227" t="s">
        <v>1878</v>
      </c>
      <c r="L227" t="s">
        <v>1906</v>
      </c>
      <c r="M227" t="s">
        <v>10</v>
      </c>
      <c r="N227">
        <f>Main5[[#This Row],[Quantity]]*Main5[[#This Row],[Unit Price]]</f>
        <v>834.12000000000012</v>
      </c>
      <c r="O227">
        <f>Main5[[#This Row],[Unit Price]]-Main5[[#This Row],[Unit Price]]*0.2</f>
        <v>222.43200000000002</v>
      </c>
      <c r="P227">
        <f>Main5[[#This Row],[Total Price]]-Main5[[#This Row],[Cost Price]]</f>
        <v>611.6880000000001</v>
      </c>
      <c r="Q227" t="str">
        <f>TEXT(Main5[[#This Row],[Date]],"mmm")</f>
        <v>Jul</v>
      </c>
    </row>
    <row r="228" spans="1:17" x14ac:dyDescent="0.25">
      <c r="A228" t="s">
        <v>536</v>
      </c>
      <c r="B228" t="s">
        <v>2145</v>
      </c>
      <c r="C228" t="s">
        <v>537</v>
      </c>
      <c r="D228" t="s">
        <v>20</v>
      </c>
      <c r="E228" t="s">
        <v>1883</v>
      </c>
      <c r="F228" t="s">
        <v>2146</v>
      </c>
      <c r="G228" t="s">
        <v>538</v>
      </c>
      <c r="H228" t="s">
        <v>22</v>
      </c>
      <c r="I228" t="s">
        <v>30</v>
      </c>
      <c r="J228" t="s">
        <v>539</v>
      </c>
      <c r="K228" t="s">
        <v>1894</v>
      </c>
      <c r="L228" t="s">
        <v>1906</v>
      </c>
      <c r="M228" t="s">
        <v>10</v>
      </c>
      <c r="N228">
        <f>Main5[[#This Row],[Quantity]]*Main5[[#This Row],[Unit Price]]</f>
        <v>822.98</v>
      </c>
      <c r="O228">
        <f>Main5[[#This Row],[Unit Price]]-Main5[[#This Row],[Unit Price]]*0.2</f>
        <v>329.19200000000001</v>
      </c>
      <c r="P228">
        <f>Main5[[#This Row],[Total Price]]-Main5[[#This Row],[Cost Price]]</f>
        <v>493.78800000000001</v>
      </c>
      <c r="Q228" t="str">
        <f>TEXT(Main5[[#This Row],[Date]],"mmm")</f>
        <v>Apr</v>
      </c>
    </row>
    <row r="229" spans="1:17" x14ac:dyDescent="0.25">
      <c r="A229" t="s">
        <v>745</v>
      </c>
      <c r="B229" t="s">
        <v>2248</v>
      </c>
      <c r="C229" t="s">
        <v>746</v>
      </c>
      <c r="D229" t="s">
        <v>13</v>
      </c>
      <c r="E229" t="s">
        <v>1885</v>
      </c>
      <c r="F229" t="s">
        <v>2249</v>
      </c>
      <c r="G229" t="s">
        <v>747</v>
      </c>
      <c r="H229" t="s">
        <v>7</v>
      </c>
      <c r="I229" t="s">
        <v>30</v>
      </c>
      <c r="J229" t="s">
        <v>748</v>
      </c>
      <c r="K229" t="s">
        <v>1888</v>
      </c>
      <c r="L229" t="s">
        <v>1881</v>
      </c>
      <c r="M229" t="s">
        <v>63</v>
      </c>
      <c r="N229">
        <f>Main5[[#This Row],[Quantity]]*Main5[[#This Row],[Unit Price]]</f>
        <v>821.87999999999988</v>
      </c>
      <c r="O229">
        <f>Main5[[#This Row],[Unit Price]]-Main5[[#This Row],[Unit Price]]*0.2</f>
        <v>219.16799999999998</v>
      </c>
      <c r="P229">
        <f>Main5[[#This Row],[Total Price]]-Main5[[#This Row],[Cost Price]]</f>
        <v>602.71199999999988</v>
      </c>
      <c r="Q229" t="str">
        <f>TEXT(Main5[[#This Row],[Date]],"mmm")</f>
        <v>Mar</v>
      </c>
    </row>
    <row r="230" spans="1:17" x14ac:dyDescent="0.25">
      <c r="A230" t="s">
        <v>1780</v>
      </c>
      <c r="B230" t="s">
        <v>2763</v>
      </c>
      <c r="C230" t="s">
        <v>1781</v>
      </c>
      <c r="D230" t="s">
        <v>5</v>
      </c>
      <c r="E230" t="s">
        <v>1885</v>
      </c>
      <c r="F230" t="s">
        <v>2764</v>
      </c>
      <c r="G230" t="s">
        <v>1782</v>
      </c>
      <c r="H230" t="s">
        <v>47</v>
      </c>
      <c r="I230" t="s">
        <v>37</v>
      </c>
      <c r="J230" t="s">
        <v>1783</v>
      </c>
      <c r="K230" t="s">
        <v>1878</v>
      </c>
      <c r="L230" t="s">
        <v>1911</v>
      </c>
      <c r="M230" t="s">
        <v>10</v>
      </c>
      <c r="N230">
        <f>Main5[[#This Row],[Quantity]]*Main5[[#This Row],[Unit Price]]</f>
        <v>802.34999999999991</v>
      </c>
      <c r="O230">
        <f>Main5[[#This Row],[Unit Price]]-Main5[[#This Row],[Unit Price]]*0.2</f>
        <v>213.95999999999998</v>
      </c>
      <c r="P230">
        <f>Main5[[#This Row],[Total Price]]-Main5[[#This Row],[Cost Price]]</f>
        <v>588.38999999999987</v>
      </c>
      <c r="Q230" t="str">
        <f>TEXT(Main5[[#This Row],[Date]],"mmm")</f>
        <v>Apr</v>
      </c>
    </row>
    <row r="231" spans="1:17" x14ac:dyDescent="0.25">
      <c r="A231" t="s">
        <v>871</v>
      </c>
      <c r="B231" t="s">
        <v>2310</v>
      </c>
      <c r="C231" t="s">
        <v>872</v>
      </c>
      <c r="D231" t="s">
        <v>28</v>
      </c>
      <c r="E231" t="s">
        <v>1883</v>
      </c>
      <c r="F231" t="s">
        <v>2311</v>
      </c>
      <c r="G231" t="s">
        <v>873</v>
      </c>
      <c r="H231" t="s">
        <v>15</v>
      </c>
      <c r="I231" t="s">
        <v>75</v>
      </c>
      <c r="J231" t="s">
        <v>874</v>
      </c>
      <c r="K231" t="s">
        <v>1900</v>
      </c>
      <c r="L231" t="s">
        <v>1911</v>
      </c>
      <c r="M231" t="s">
        <v>10</v>
      </c>
      <c r="N231">
        <f>Main5[[#This Row],[Quantity]]*Main5[[#This Row],[Unit Price]]</f>
        <v>798.64</v>
      </c>
      <c r="O231">
        <f>Main5[[#This Row],[Unit Price]]-Main5[[#This Row],[Unit Price]]*0.2</f>
        <v>319.45600000000002</v>
      </c>
      <c r="P231">
        <f>Main5[[#This Row],[Total Price]]-Main5[[#This Row],[Cost Price]]</f>
        <v>479.18399999999997</v>
      </c>
      <c r="Q231" t="str">
        <f>TEXT(Main5[[#This Row],[Date]],"mmm")</f>
        <v>Sep</v>
      </c>
    </row>
    <row r="232" spans="1:17" x14ac:dyDescent="0.25">
      <c r="A232" t="s">
        <v>560</v>
      </c>
      <c r="B232" t="s">
        <v>2157</v>
      </c>
      <c r="C232" t="s">
        <v>561</v>
      </c>
      <c r="D232" t="s">
        <v>28</v>
      </c>
      <c r="E232" t="s">
        <v>1883</v>
      </c>
      <c r="F232" t="s">
        <v>2158</v>
      </c>
      <c r="G232" t="s">
        <v>562</v>
      </c>
      <c r="H232" t="s">
        <v>52</v>
      </c>
      <c r="I232" t="s">
        <v>23</v>
      </c>
      <c r="J232" t="s">
        <v>563</v>
      </c>
      <c r="K232" t="s">
        <v>1885</v>
      </c>
      <c r="L232" t="s">
        <v>1889</v>
      </c>
      <c r="M232" t="s">
        <v>17</v>
      </c>
      <c r="N232">
        <f>Main5[[#This Row],[Quantity]]*Main5[[#This Row],[Unit Price]]</f>
        <v>798.08</v>
      </c>
      <c r="O232">
        <f>Main5[[#This Row],[Unit Price]]-Main5[[#This Row],[Unit Price]]*0.2</f>
        <v>319.23200000000003</v>
      </c>
      <c r="P232">
        <f>Main5[[#This Row],[Total Price]]-Main5[[#This Row],[Cost Price]]</f>
        <v>478.84800000000001</v>
      </c>
      <c r="Q232" t="str">
        <f>TEXT(Main5[[#This Row],[Date]],"mmm")</f>
        <v>Jan</v>
      </c>
    </row>
    <row r="233" spans="1:17" x14ac:dyDescent="0.25">
      <c r="A233" t="s">
        <v>317</v>
      </c>
      <c r="B233" t="s">
        <v>2037</v>
      </c>
      <c r="C233" t="s">
        <v>318</v>
      </c>
      <c r="D233" t="s">
        <v>5</v>
      </c>
      <c r="E233" t="s">
        <v>1883</v>
      </c>
      <c r="F233" t="s">
        <v>2038</v>
      </c>
      <c r="G233" t="s">
        <v>319</v>
      </c>
      <c r="H233" t="s">
        <v>52</v>
      </c>
      <c r="I233" t="s">
        <v>8</v>
      </c>
      <c r="J233" t="s">
        <v>320</v>
      </c>
      <c r="K233" t="s">
        <v>1900</v>
      </c>
      <c r="L233" t="s">
        <v>1889</v>
      </c>
      <c r="M233" t="s">
        <v>25</v>
      </c>
      <c r="N233">
        <f>Main5[[#This Row],[Quantity]]*Main5[[#This Row],[Unit Price]]</f>
        <v>788.6</v>
      </c>
      <c r="O233">
        <f>Main5[[#This Row],[Unit Price]]-Main5[[#This Row],[Unit Price]]*0.2</f>
        <v>315.44</v>
      </c>
      <c r="P233">
        <f>Main5[[#This Row],[Total Price]]-Main5[[#This Row],[Cost Price]]</f>
        <v>473.16</v>
      </c>
      <c r="Q233" t="str">
        <f>TEXT(Main5[[#This Row],[Date]],"mmm")</f>
        <v>Jun</v>
      </c>
    </row>
    <row r="234" spans="1:17" x14ac:dyDescent="0.25">
      <c r="A234" t="s">
        <v>81</v>
      </c>
      <c r="B234" t="s">
        <v>1918</v>
      </c>
      <c r="C234" t="s">
        <v>82</v>
      </c>
      <c r="D234" t="s">
        <v>20</v>
      </c>
      <c r="E234" t="s">
        <v>1883</v>
      </c>
      <c r="F234" t="s">
        <v>1919</v>
      </c>
      <c r="G234" t="s">
        <v>83</v>
      </c>
      <c r="H234" t="s">
        <v>7</v>
      </c>
      <c r="I234" t="s">
        <v>75</v>
      </c>
      <c r="J234" t="s">
        <v>84</v>
      </c>
      <c r="K234" t="s">
        <v>1885</v>
      </c>
      <c r="L234" t="s">
        <v>1881</v>
      </c>
      <c r="M234" t="s">
        <v>10</v>
      </c>
      <c r="N234">
        <f>Main5[[#This Row],[Quantity]]*Main5[[#This Row],[Unit Price]]</f>
        <v>786.66</v>
      </c>
      <c r="O234">
        <f>Main5[[#This Row],[Unit Price]]-Main5[[#This Row],[Unit Price]]*0.2</f>
        <v>314.66399999999999</v>
      </c>
      <c r="P234">
        <f>Main5[[#This Row],[Total Price]]-Main5[[#This Row],[Cost Price]]</f>
        <v>471.99599999999998</v>
      </c>
      <c r="Q234" t="str">
        <f>TEXT(Main5[[#This Row],[Date]],"mmm")</f>
        <v>Mar</v>
      </c>
    </row>
    <row r="235" spans="1:17" x14ac:dyDescent="0.25">
      <c r="A235" t="s">
        <v>1399</v>
      </c>
      <c r="B235" t="s">
        <v>2569</v>
      </c>
      <c r="C235" t="s">
        <v>1400</v>
      </c>
      <c r="D235" t="s">
        <v>35</v>
      </c>
      <c r="E235" t="s">
        <v>1883</v>
      </c>
      <c r="F235" t="s">
        <v>2570</v>
      </c>
      <c r="G235" t="s">
        <v>1401</v>
      </c>
      <c r="H235" t="s">
        <v>15</v>
      </c>
      <c r="I235" t="s">
        <v>75</v>
      </c>
      <c r="J235" t="s">
        <v>1402</v>
      </c>
      <c r="K235" t="s">
        <v>1880</v>
      </c>
      <c r="L235" t="s">
        <v>1881</v>
      </c>
      <c r="M235" t="s">
        <v>25</v>
      </c>
      <c r="N235">
        <f>Main5[[#This Row],[Quantity]]*Main5[[#This Row],[Unit Price]]</f>
        <v>770.32</v>
      </c>
      <c r="O235">
        <f>Main5[[#This Row],[Unit Price]]-Main5[[#This Row],[Unit Price]]*0.2</f>
        <v>308.12800000000004</v>
      </c>
      <c r="P235">
        <f>Main5[[#This Row],[Total Price]]-Main5[[#This Row],[Cost Price]]</f>
        <v>462.19200000000001</v>
      </c>
      <c r="Q235" t="str">
        <f>TEXT(Main5[[#This Row],[Date]],"mmm")</f>
        <v>Jan</v>
      </c>
    </row>
    <row r="236" spans="1:17" x14ac:dyDescent="0.25">
      <c r="A236" t="s">
        <v>173</v>
      </c>
      <c r="B236" t="s">
        <v>1965</v>
      </c>
      <c r="C236" t="s">
        <v>174</v>
      </c>
      <c r="D236" t="s">
        <v>35</v>
      </c>
      <c r="E236" t="s">
        <v>1885</v>
      </c>
      <c r="F236" t="s">
        <v>1966</v>
      </c>
      <c r="G236" t="s">
        <v>175</v>
      </c>
      <c r="H236" t="s">
        <v>22</v>
      </c>
      <c r="I236" t="s">
        <v>37</v>
      </c>
      <c r="J236" t="s">
        <v>176</v>
      </c>
      <c r="K236" t="s">
        <v>1894</v>
      </c>
      <c r="L236" t="s">
        <v>1881</v>
      </c>
      <c r="M236" t="s">
        <v>17</v>
      </c>
      <c r="N236">
        <f>Main5[[#This Row],[Quantity]]*Main5[[#This Row],[Unit Price]]</f>
        <v>769.37999999999988</v>
      </c>
      <c r="O236">
        <f>Main5[[#This Row],[Unit Price]]-Main5[[#This Row],[Unit Price]]*0.2</f>
        <v>205.16799999999998</v>
      </c>
      <c r="P236">
        <f>Main5[[#This Row],[Total Price]]-Main5[[#This Row],[Cost Price]]</f>
        <v>564.21199999999988</v>
      </c>
      <c r="Q236" t="str">
        <f>TEXT(Main5[[#This Row],[Date]],"mmm")</f>
        <v>Feb</v>
      </c>
    </row>
    <row r="237" spans="1:17" x14ac:dyDescent="0.25">
      <c r="A237" t="s">
        <v>589</v>
      </c>
      <c r="B237" t="s">
        <v>2171</v>
      </c>
      <c r="C237" t="s">
        <v>590</v>
      </c>
      <c r="D237" t="s">
        <v>28</v>
      </c>
      <c r="E237" t="s">
        <v>1883</v>
      </c>
      <c r="F237" t="s">
        <v>2172</v>
      </c>
      <c r="G237" t="s">
        <v>591</v>
      </c>
      <c r="H237" t="s">
        <v>15</v>
      </c>
      <c r="I237" t="s">
        <v>30</v>
      </c>
      <c r="J237" t="s">
        <v>592</v>
      </c>
      <c r="K237" t="s">
        <v>1883</v>
      </c>
      <c r="L237" t="s">
        <v>1911</v>
      </c>
      <c r="M237" t="s">
        <v>25</v>
      </c>
      <c r="N237">
        <f>Main5[[#This Row],[Quantity]]*Main5[[#This Row],[Unit Price]]</f>
        <v>768.28</v>
      </c>
      <c r="O237">
        <f>Main5[[#This Row],[Unit Price]]-Main5[[#This Row],[Unit Price]]*0.2</f>
        <v>307.31200000000001</v>
      </c>
      <c r="P237">
        <f>Main5[[#This Row],[Total Price]]-Main5[[#This Row],[Cost Price]]</f>
        <v>460.96799999999996</v>
      </c>
      <c r="Q237" t="str">
        <f>TEXT(Main5[[#This Row],[Date]],"mmm")</f>
        <v>May</v>
      </c>
    </row>
    <row r="238" spans="1:17" x14ac:dyDescent="0.25">
      <c r="A238" t="s">
        <v>1209</v>
      </c>
      <c r="B238" t="s">
        <v>2473</v>
      </c>
      <c r="C238" t="s">
        <v>1210</v>
      </c>
      <c r="D238" t="s">
        <v>20</v>
      </c>
      <c r="E238" t="s">
        <v>1885</v>
      </c>
      <c r="F238" t="s">
        <v>2474</v>
      </c>
      <c r="G238" t="s">
        <v>1211</v>
      </c>
      <c r="H238" t="s">
        <v>15</v>
      </c>
      <c r="I238" t="s">
        <v>75</v>
      </c>
      <c r="J238" t="s">
        <v>1212</v>
      </c>
      <c r="K238" t="s">
        <v>1885</v>
      </c>
      <c r="L238" t="s">
        <v>1906</v>
      </c>
      <c r="M238" t="s">
        <v>10</v>
      </c>
      <c r="N238">
        <f>Main5[[#This Row],[Quantity]]*Main5[[#This Row],[Unit Price]]</f>
        <v>759.15000000000009</v>
      </c>
      <c r="O238">
        <f>Main5[[#This Row],[Unit Price]]-Main5[[#This Row],[Unit Price]]*0.2</f>
        <v>202.44</v>
      </c>
      <c r="P238">
        <f>Main5[[#This Row],[Total Price]]-Main5[[#This Row],[Cost Price]]</f>
        <v>556.71</v>
      </c>
      <c r="Q238" t="str">
        <f>TEXT(Main5[[#This Row],[Date]],"mmm")</f>
        <v>Aug</v>
      </c>
    </row>
    <row r="239" spans="1:17" x14ac:dyDescent="0.25">
      <c r="A239" t="s">
        <v>49</v>
      </c>
      <c r="B239" t="s">
        <v>1901</v>
      </c>
      <c r="C239" t="s">
        <v>50</v>
      </c>
      <c r="D239" t="s">
        <v>5</v>
      </c>
      <c r="E239" t="s">
        <v>1878</v>
      </c>
      <c r="F239" t="s">
        <v>1902</v>
      </c>
      <c r="G239" t="s">
        <v>51</v>
      </c>
      <c r="H239" t="s">
        <v>52</v>
      </c>
      <c r="I239" t="s">
        <v>8</v>
      </c>
      <c r="J239" t="s">
        <v>53</v>
      </c>
      <c r="K239" t="s">
        <v>1903</v>
      </c>
      <c r="L239" t="s">
        <v>1889</v>
      </c>
      <c r="M239" t="s">
        <v>32</v>
      </c>
      <c r="N239">
        <f>Main5[[#This Row],[Quantity]]*Main5[[#This Row],[Unit Price]]</f>
        <v>747.75</v>
      </c>
      <c r="O239">
        <f>Main5[[#This Row],[Unit Price]]-Main5[[#This Row],[Unit Price]]*0.2</f>
        <v>119.64000000000001</v>
      </c>
      <c r="P239">
        <f>Main5[[#This Row],[Total Price]]-Main5[[#This Row],[Cost Price]]</f>
        <v>628.11</v>
      </c>
      <c r="Q239" t="str">
        <f>TEXT(Main5[[#This Row],[Date]],"mmm")</f>
        <v>May</v>
      </c>
    </row>
    <row r="240" spans="1:17" x14ac:dyDescent="0.25">
      <c r="A240" t="s">
        <v>733</v>
      </c>
      <c r="B240" t="s">
        <v>2242</v>
      </c>
      <c r="C240" t="s">
        <v>734</v>
      </c>
      <c r="D240" t="s">
        <v>45</v>
      </c>
      <c r="E240" t="s">
        <v>1883</v>
      </c>
      <c r="F240" t="s">
        <v>2243</v>
      </c>
      <c r="G240" t="s">
        <v>735</v>
      </c>
      <c r="H240" t="s">
        <v>22</v>
      </c>
      <c r="I240" t="s">
        <v>75</v>
      </c>
      <c r="J240" t="s">
        <v>736</v>
      </c>
      <c r="K240" t="s">
        <v>1900</v>
      </c>
      <c r="L240" t="s">
        <v>1881</v>
      </c>
      <c r="M240" t="s">
        <v>17</v>
      </c>
      <c r="N240">
        <f>Main5[[#This Row],[Quantity]]*Main5[[#This Row],[Unit Price]]</f>
        <v>746.34</v>
      </c>
      <c r="O240">
        <f>Main5[[#This Row],[Unit Price]]-Main5[[#This Row],[Unit Price]]*0.2</f>
        <v>298.536</v>
      </c>
      <c r="P240">
        <f>Main5[[#This Row],[Total Price]]-Main5[[#This Row],[Cost Price]]</f>
        <v>447.80400000000003</v>
      </c>
      <c r="Q240" t="str">
        <f>TEXT(Main5[[#This Row],[Date]],"mmm")</f>
        <v>Jul</v>
      </c>
    </row>
    <row r="241" spans="1:17" x14ac:dyDescent="0.25">
      <c r="A241" t="s">
        <v>1738</v>
      </c>
      <c r="B241" t="s">
        <v>2741</v>
      </c>
      <c r="C241" t="s">
        <v>1739</v>
      </c>
      <c r="D241" t="s">
        <v>45</v>
      </c>
      <c r="E241" t="s">
        <v>1885</v>
      </c>
      <c r="F241" t="s">
        <v>2742</v>
      </c>
      <c r="G241" t="s">
        <v>829</v>
      </c>
      <c r="H241" t="s">
        <v>7</v>
      </c>
      <c r="I241" t="s">
        <v>30</v>
      </c>
      <c r="J241" t="s">
        <v>1740</v>
      </c>
      <c r="K241" t="s">
        <v>1885</v>
      </c>
      <c r="L241" t="s">
        <v>1911</v>
      </c>
      <c r="M241" t="s">
        <v>17</v>
      </c>
      <c r="N241">
        <f>Main5[[#This Row],[Quantity]]*Main5[[#This Row],[Unit Price]]</f>
        <v>741.33</v>
      </c>
      <c r="O241">
        <f>Main5[[#This Row],[Unit Price]]-Main5[[#This Row],[Unit Price]]*0.2</f>
        <v>197.68800000000002</v>
      </c>
      <c r="P241">
        <f>Main5[[#This Row],[Total Price]]-Main5[[#This Row],[Cost Price]]</f>
        <v>543.64200000000005</v>
      </c>
      <c r="Q241" t="str">
        <f>TEXT(Main5[[#This Row],[Date]],"mmm")</f>
        <v>May</v>
      </c>
    </row>
    <row r="242" spans="1:17" x14ac:dyDescent="0.25">
      <c r="A242" t="s">
        <v>350</v>
      </c>
      <c r="B242" t="s">
        <v>2053</v>
      </c>
      <c r="C242" t="s">
        <v>351</v>
      </c>
      <c r="D242" t="s">
        <v>28</v>
      </c>
      <c r="E242" t="s">
        <v>1894</v>
      </c>
      <c r="F242" t="s">
        <v>2054</v>
      </c>
      <c r="G242" t="s">
        <v>352</v>
      </c>
      <c r="H242" t="s">
        <v>47</v>
      </c>
      <c r="I242" t="s">
        <v>37</v>
      </c>
      <c r="J242" t="s">
        <v>353</v>
      </c>
      <c r="K242" t="s">
        <v>1894</v>
      </c>
      <c r="L242" t="s">
        <v>1881</v>
      </c>
      <c r="M242" t="s">
        <v>25</v>
      </c>
      <c r="N242">
        <f>Main5[[#This Row],[Quantity]]*Main5[[#This Row],[Unit Price]]</f>
        <v>728.32</v>
      </c>
      <c r="O242">
        <f>Main5[[#This Row],[Unit Price]]-Main5[[#This Row],[Unit Price]]*0.2</f>
        <v>145.66400000000002</v>
      </c>
      <c r="P242">
        <f>Main5[[#This Row],[Total Price]]-Main5[[#This Row],[Cost Price]]</f>
        <v>582.65600000000006</v>
      </c>
      <c r="Q242" t="str">
        <f>TEXT(Main5[[#This Row],[Date]],"mmm")</f>
        <v>Sep</v>
      </c>
    </row>
    <row r="243" spans="1:17" x14ac:dyDescent="0.25">
      <c r="A243" t="s">
        <v>663</v>
      </c>
      <c r="B243" t="s">
        <v>2207</v>
      </c>
      <c r="C243" t="s">
        <v>664</v>
      </c>
      <c r="D243" t="s">
        <v>28</v>
      </c>
      <c r="E243" t="s">
        <v>1883</v>
      </c>
      <c r="F243" t="s">
        <v>2208</v>
      </c>
      <c r="G243" t="s">
        <v>665</v>
      </c>
      <c r="H243" t="s">
        <v>47</v>
      </c>
      <c r="I243" t="s">
        <v>8</v>
      </c>
      <c r="J243" t="s">
        <v>666</v>
      </c>
      <c r="K243" t="s">
        <v>1883</v>
      </c>
      <c r="L243" t="s">
        <v>1889</v>
      </c>
      <c r="M243" t="s">
        <v>17</v>
      </c>
      <c r="N243">
        <f>Main5[[#This Row],[Quantity]]*Main5[[#This Row],[Unit Price]]</f>
        <v>727.82</v>
      </c>
      <c r="O243">
        <f>Main5[[#This Row],[Unit Price]]-Main5[[#This Row],[Unit Price]]*0.2</f>
        <v>291.12800000000004</v>
      </c>
      <c r="P243">
        <f>Main5[[#This Row],[Total Price]]-Main5[[#This Row],[Cost Price]]</f>
        <v>436.69200000000001</v>
      </c>
      <c r="Q243" t="str">
        <f>TEXT(Main5[[#This Row],[Date]],"mmm")</f>
        <v>Mar</v>
      </c>
    </row>
    <row r="244" spans="1:17" x14ac:dyDescent="0.25">
      <c r="A244" t="s">
        <v>1635</v>
      </c>
      <c r="B244" t="s">
        <v>2687</v>
      </c>
      <c r="C244" t="s">
        <v>1636</v>
      </c>
      <c r="D244" t="s">
        <v>28</v>
      </c>
      <c r="E244" t="s">
        <v>1885</v>
      </c>
      <c r="F244" t="s">
        <v>2688</v>
      </c>
      <c r="G244" t="s">
        <v>1637</v>
      </c>
      <c r="H244" t="s">
        <v>15</v>
      </c>
      <c r="I244" t="s">
        <v>37</v>
      </c>
      <c r="J244" t="s">
        <v>1638</v>
      </c>
      <c r="K244" t="s">
        <v>1888</v>
      </c>
      <c r="L244" t="s">
        <v>1889</v>
      </c>
      <c r="M244" t="s">
        <v>25</v>
      </c>
      <c r="N244">
        <f>Main5[[#This Row],[Quantity]]*Main5[[#This Row],[Unit Price]]</f>
        <v>709.5</v>
      </c>
      <c r="O244">
        <f>Main5[[#This Row],[Unit Price]]-Main5[[#This Row],[Unit Price]]*0.2</f>
        <v>189.2</v>
      </c>
      <c r="P244">
        <f>Main5[[#This Row],[Total Price]]-Main5[[#This Row],[Cost Price]]</f>
        <v>520.29999999999995</v>
      </c>
      <c r="Q244" t="str">
        <f>TEXT(Main5[[#This Row],[Date]],"mmm")</f>
        <v>Jan</v>
      </c>
    </row>
    <row r="245" spans="1:17" x14ac:dyDescent="0.25">
      <c r="A245" t="s">
        <v>305</v>
      </c>
      <c r="B245" t="s">
        <v>2031</v>
      </c>
      <c r="C245" t="s">
        <v>306</v>
      </c>
      <c r="D245" t="s">
        <v>35</v>
      </c>
      <c r="E245" t="s">
        <v>1894</v>
      </c>
      <c r="F245" t="s">
        <v>2032</v>
      </c>
      <c r="G245" t="s">
        <v>307</v>
      </c>
      <c r="H245" t="s">
        <v>7</v>
      </c>
      <c r="I245" t="s">
        <v>37</v>
      </c>
      <c r="J245" t="s">
        <v>308</v>
      </c>
      <c r="K245" t="s">
        <v>1894</v>
      </c>
      <c r="L245" t="s">
        <v>1889</v>
      </c>
      <c r="M245" t="s">
        <v>10</v>
      </c>
      <c r="N245">
        <f>Main5[[#This Row],[Quantity]]*Main5[[#This Row],[Unit Price]]</f>
        <v>701.44</v>
      </c>
      <c r="O245">
        <f>Main5[[#This Row],[Unit Price]]-Main5[[#This Row],[Unit Price]]*0.2</f>
        <v>140.28800000000001</v>
      </c>
      <c r="P245">
        <f>Main5[[#This Row],[Total Price]]-Main5[[#This Row],[Cost Price]]</f>
        <v>561.15200000000004</v>
      </c>
      <c r="Q245" t="str">
        <f>TEXT(Main5[[#This Row],[Date]],"mmm")</f>
        <v>Aug</v>
      </c>
    </row>
    <row r="246" spans="1:17" x14ac:dyDescent="0.25">
      <c r="A246" t="s">
        <v>1066</v>
      </c>
      <c r="B246" t="s">
        <v>2404</v>
      </c>
      <c r="C246" t="s">
        <v>1067</v>
      </c>
      <c r="D246" t="s">
        <v>13</v>
      </c>
      <c r="E246" t="s">
        <v>1891</v>
      </c>
      <c r="F246" t="s">
        <v>2405</v>
      </c>
      <c r="G246" t="s">
        <v>1068</v>
      </c>
      <c r="H246" t="s">
        <v>7</v>
      </c>
      <c r="I246" t="s">
        <v>8</v>
      </c>
      <c r="J246" t="s">
        <v>1069</v>
      </c>
      <c r="K246" t="s">
        <v>1894</v>
      </c>
      <c r="L246" t="s">
        <v>1906</v>
      </c>
      <c r="M246" t="s">
        <v>10</v>
      </c>
      <c r="N246">
        <f>Main5[[#This Row],[Quantity]]*Main5[[#This Row],[Unit Price]]</f>
        <v>693.41</v>
      </c>
      <c r="O246">
        <f>Main5[[#This Row],[Unit Price]]-Main5[[#This Row],[Unit Price]]*0.2</f>
        <v>554.72799999999995</v>
      </c>
      <c r="P246">
        <f>Main5[[#This Row],[Total Price]]-Main5[[#This Row],[Cost Price]]</f>
        <v>138.68200000000002</v>
      </c>
      <c r="Q246" t="str">
        <f>TEXT(Main5[[#This Row],[Date]],"mmm")</f>
        <v>Jul</v>
      </c>
    </row>
    <row r="247" spans="1:17" x14ac:dyDescent="0.25">
      <c r="A247" t="s">
        <v>917</v>
      </c>
      <c r="B247" t="s">
        <v>2332</v>
      </c>
      <c r="C247" t="s">
        <v>918</v>
      </c>
      <c r="D247" t="s">
        <v>13</v>
      </c>
      <c r="E247" t="s">
        <v>1883</v>
      </c>
      <c r="F247" t="s">
        <v>2333</v>
      </c>
      <c r="G247" t="s">
        <v>919</v>
      </c>
      <c r="H247" t="s">
        <v>22</v>
      </c>
      <c r="I247" t="s">
        <v>37</v>
      </c>
      <c r="J247" t="s">
        <v>920</v>
      </c>
      <c r="K247" t="s">
        <v>1900</v>
      </c>
      <c r="L247" t="s">
        <v>1889</v>
      </c>
      <c r="M247" t="s">
        <v>63</v>
      </c>
      <c r="N247">
        <f>Main5[[#This Row],[Quantity]]*Main5[[#This Row],[Unit Price]]</f>
        <v>690.02</v>
      </c>
      <c r="O247">
        <f>Main5[[#This Row],[Unit Price]]-Main5[[#This Row],[Unit Price]]*0.2</f>
        <v>276.00799999999998</v>
      </c>
      <c r="P247">
        <f>Main5[[#This Row],[Total Price]]-Main5[[#This Row],[Cost Price]]</f>
        <v>414.012</v>
      </c>
      <c r="Q247" t="str">
        <f>TEXT(Main5[[#This Row],[Date]],"mmm")</f>
        <v>May</v>
      </c>
    </row>
    <row r="248" spans="1:17" x14ac:dyDescent="0.25">
      <c r="A248" t="s">
        <v>177</v>
      </c>
      <c r="B248" t="s">
        <v>1967</v>
      </c>
      <c r="C248" t="s">
        <v>178</v>
      </c>
      <c r="D248" t="s">
        <v>60</v>
      </c>
      <c r="E248" t="s">
        <v>1883</v>
      </c>
      <c r="F248" t="s">
        <v>1968</v>
      </c>
      <c r="G248" t="s">
        <v>179</v>
      </c>
      <c r="H248" t="s">
        <v>15</v>
      </c>
      <c r="I248" t="s">
        <v>37</v>
      </c>
      <c r="J248" t="s">
        <v>180</v>
      </c>
      <c r="K248" t="s">
        <v>1894</v>
      </c>
      <c r="L248" t="s">
        <v>1889</v>
      </c>
      <c r="M248" t="s">
        <v>10</v>
      </c>
      <c r="N248">
        <f>Main5[[#This Row],[Quantity]]*Main5[[#This Row],[Unit Price]]</f>
        <v>688.04</v>
      </c>
      <c r="O248">
        <f>Main5[[#This Row],[Unit Price]]-Main5[[#This Row],[Unit Price]]*0.2</f>
        <v>275.21600000000001</v>
      </c>
      <c r="P248">
        <f>Main5[[#This Row],[Total Price]]-Main5[[#This Row],[Cost Price]]</f>
        <v>412.82399999999996</v>
      </c>
      <c r="Q248" t="str">
        <f>TEXT(Main5[[#This Row],[Date]],"mmm")</f>
        <v>Aug</v>
      </c>
    </row>
    <row r="249" spans="1:17" x14ac:dyDescent="0.25">
      <c r="A249" t="s">
        <v>813</v>
      </c>
      <c r="B249" t="s">
        <v>2282</v>
      </c>
      <c r="C249" t="s">
        <v>814</v>
      </c>
      <c r="D249" t="s">
        <v>60</v>
      </c>
      <c r="E249" t="s">
        <v>1883</v>
      </c>
      <c r="F249" t="s">
        <v>2283</v>
      </c>
      <c r="G249" t="s">
        <v>815</v>
      </c>
      <c r="H249" t="s">
        <v>47</v>
      </c>
      <c r="I249" t="s">
        <v>8</v>
      </c>
      <c r="J249" t="s">
        <v>816</v>
      </c>
      <c r="K249" t="s">
        <v>1883</v>
      </c>
      <c r="L249" t="s">
        <v>1911</v>
      </c>
      <c r="M249" t="s">
        <v>10</v>
      </c>
      <c r="N249">
        <f>Main5[[#This Row],[Quantity]]*Main5[[#This Row],[Unit Price]]</f>
        <v>684.22</v>
      </c>
      <c r="O249">
        <f>Main5[[#This Row],[Unit Price]]-Main5[[#This Row],[Unit Price]]*0.2</f>
        <v>273.68799999999999</v>
      </c>
      <c r="P249">
        <f>Main5[[#This Row],[Total Price]]-Main5[[#This Row],[Cost Price]]</f>
        <v>410.53200000000004</v>
      </c>
      <c r="Q249" t="str">
        <f>TEXT(Main5[[#This Row],[Date]],"mmm")</f>
        <v>Aug</v>
      </c>
    </row>
    <row r="250" spans="1:17" x14ac:dyDescent="0.25">
      <c r="A250" t="s">
        <v>338</v>
      </c>
      <c r="B250" t="s">
        <v>2047</v>
      </c>
      <c r="C250" t="s">
        <v>339</v>
      </c>
      <c r="D250" t="s">
        <v>20</v>
      </c>
      <c r="E250" t="s">
        <v>1885</v>
      </c>
      <c r="F250" t="s">
        <v>2048</v>
      </c>
      <c r="G250" t="s">
        <v>340</v>
      </c>
      <c r="H250" t="s">
        <v>52</v>
      </c>
      <c r="I250" t="s">
        <v>8</v>
      </c>
      <c r="J250" t="s">
        <v>341</v>
      </c>
      <c r="K250" t="s">
        <v>1894</v>
      </c>
      <c r="L250" t="s">
        <v>1881</v>
      </c>
      <c r="M250" t="s">
        <v>32</v>
      </c>
      <c r="N250">
        <f>Main5[[#This Row],[Quantity]]*Main5[[#This Row],[Unit Price]]</f>
        <v>675.33</v>
      </c>
      <c r="O250">
        <f>Main5[[#This Row],[Unit Price]]-Main5[[#This Row],[Unit Price]]*0.2</f>
        <v>180.08800000000002</v>
      </c>
      <c r="P250">
        <f>Main5[[#This Row],[Total Price]]-Main5[[#This Row],[Cost Price]]</f>
        <v>495.24200000000002</v>
      </c>
      <c r="Q250" t="str">
        <f>TEXT(Main5[[#This Row],[Date]],"mmm")</f>
        <v>Oct</v>
      </c>
    </row>
    <row r="251" spans="1:17" x14ac:dyDescent="0.25">
      <c r="A251" t="s">
        <v>1434</v>
      </c>
      <c r="B251" t="s">
        <v>2585</v>
      </c>
      <c r="C251" t="s">
        <v>1435</v>
      </c>
      <c r="D251" t="s">
        <v>20</v>
      </c>
      <c r="E251" t="s">
        <v>1891</v>
      </c>
      <c r="F251" t="s">
        <v>2586</v>
      </c>
      <c r="G251" t="s">
        <v>1436</v>
      </c>
      <c r="H251" t="s">
        <v>22</v>
      </c>
      <c r="I251" t="s">
        <v>75</v>
      </c>
      <c r="J251" t="s">
        <v>1437</v>
      </c>
      <c r="K251" t="s">
        <v>1891</v>
      </c>
      <c r="L251" t="s">
        <v>1911</v>
      </c>
      <c r="M251" t="s">
        <v>25</v>
      </c>
      <c r="N251">
        <f>Main5[[#This Row],[Quantity]]*Main5[[#This Row],[Unit Price]]</f>
        <v>672.89</v>
      </c>
      <c r="O251">
        <f>Main5[[#This Row],[Unit Price]]-Main5[[#This Row],[Unit Price]]*0.2</f>
        <v>538.31200000000001</v>
      </c>
      <c r="P251">
        <f>Main5[[#This Row],[Total Price]]-Main5[[#This Row],[Cost Price]]</f>
        <v>134.57799999999997</v>
      </c>
      <c r="Q251" t="str">
        <f>TEXT(Main5[[#This Row],[Date]],"mmm")</f>
        <v>Sep</v>
      </c>
    </row>
    <row r="252" spans="1:17" x14ac:dyDescent="0.25">
      <c r="A252" t="s">
        <v>817</v>
      </c>
      <c r="B252" t="s">
        <v>2284</v>
      </c>
      <c r="C252" t="s">
        <v>818</v>
      </c>
      <c r="D252" t="s">
        <v>45</v>
      </c>
      <c r="E252" t="s">
        <v>1891</v>
      </c>
      <c r="F252" t="s">
        <v>2285</v>
      </c>
      <c r="G252" t="s">
        <v>819</v>
      </c>
      <c r="H252" t="s">
        <v>52</v>
      </c>
      <c r="I252" t="s">
        <v>8</v>
      </c>
      <c r="J252" t="s">
        <v>820</v>
      </c>
      <c r="K252" t="s">
        <v>1900</v>
      </c>
      <c r="L252" t="s">
        <v>1889</v>
      </c>
      <c r="M252" t="s">
        <v>17</v>
      </c>
      <c r="N252">
        <f>Main5[[#This Row],[Quantity]]*Main5[[#This Row],[Unit Price]]</f>
        <v>670.54</v>
      </c>
      <c r="O252">
        <f>Main5[[#This Row],[Unit Price]]-Main5[[#This Row],[Unit Price]]*0.2</f>
        <v>536.43200000000002</v>
      </c>
      <c r="P252">
        <f>Main5[[#This Row],[Total Price]]-Main5[[#This Row],[Cost Price]]</f>
        <v>134.10799999999995</v>
      </c>
      <c r="Q252" t="str">
        <f>TEXT(Main5[[#This Row],[Date]],"mmm")</f>
        <v>Jul</v>
      </c>
    </row>
    <row r="253" spans="1:17" x14ac:dyDescent="0.25">
      <c r="A253" t="s">
        <v>1349</v>
      </c>
      <c r="B253" t="s">
        <v>2543</v>
      </c>
      <c r="C253" t="s">
        <v>1350</v>
      </c>
      <c r="D253" t="s">
        <v>13</v>
      </c>
      <c r="E253" t="s">
        <v>1883</v>
      </c>
      <c r="F253" t="s">
        <v>2544</v>
      </c>
      <c r="G253" t="s">
        <v>1351</v>
      </c>
      <c r="H253" t="s">
        <v>47</v>
      </c>
      <c r="I253" t="s">
        <v>23</v>
      </c>
      <c r="J253" t="s">
        <v>1352</v>
      </c>
      <c r="K253" t="s">
        <v>1894</v>
      </c>
      <c r="L253" t="s">
        <v>1889</v>
      </c>
      <c r="M253" t="s">
        <v>17</v>
      </c>
      <c r="N253">
        <f>Main5[[#This Row],[Quantity]]*Main5[[#This Row],[Unit Price]]</f>
        <v>667.66</v>
      </c>
      <c r="O253">
        <f>Main5[[#This Row],[Unit Price]]-Main5[[#This Row],[Unit Price]]*0.2</f>
        <v>267.06399999999996</v>
      </c>
      <c r="P253">
        <f>Main5[[#This Row],[Total Price]]-Main5[[#This Row],[Cost Price]]</f>
        <v>400.596</v>
      </c>
      <c r="Q253" t="str">
        <f>TEXT(Main5[[#This Row],[Date]],"mmm")</f>
        <v>Aug</v>
      </c>
    </row>
    <row r="254" spans="1:17" x14ac:dyDescent="0.25">
      <c r="A254" t="s">
        <v>1166</v>
      </c>
      <c r="B254" t="s">
        <v>2453</v>
      </c>
      <c r="C254" t="s">
        <v>1167</v>
      </c>
      <c r="D254" t="s">
        <v>20</v>
      </c>
      <c r="E254" t="s">
        <v>1878</v>
      </c>
      <c r="F254" t="s">
        <v>2454</v>
      </c>
      <c r="G254" t="s">
        <v>1168</v>
      </c>
      <c r="H254" t="s">
        <v>22</v>
      </c>
      <c r="I254" t="s">
        <v>30</v>
      </c>
      <c r="J254" t="s">
        <v>1169</v>
      </c>
      <c r="K254" t="s">
        <v>1954</v>
      </c>
      <c r="L254" t="s">
        <v>1906</v>
      </c>
      <c r="M254" t="s">
        <v>32</v>
      </c>
      <c r="N254">
        <f>Main5[[#This Row],[Quantity]]*Main5[[#This Row],[Unit Price]]</f>
        <v>665.05</v>
      </c>
      <c r="O254">
        <f>Main5[[#This Row],[Unit Price]]-Main5[[#This Row],[Unit Price]]*0.2</f>
        <v>106.40799999999999</v>
      </c>
      <c r="P254">
        <f>Main5[[#This Row],[Total Price]]-Main5[[#This Row],[Cost Price]]</f>
        <v>558.64199999999994</v>
      </c>
      <c r="Q254" t="str">
        <f>TEXT(Main5[[#This Row],[Date]],"mmm")</f>
        <v>Apr</v>
      </c>
    </row>
    <row r="255" spans="1:17" x14ac:dyDescent="0.25">
      <c r="A255" t="s">
        <v>43</v>
      </c>
      <c r="B255" t="s">
        <v>1898</v>
      </c>
      <c r="C255" t="s">
        <v>44</v>
      </c>
      <c r="D255" t="s">
        <v>45</v>
      </c>
      <c r="E255" t="s">
        <v>1891</v>
      </c>
      <c r="F255" t="s">
        <v>1899</v>
      </c>
      <c r="G255" t="s">
        <v>46</v>
      </c>
      <c r="H255" t="s">
        <v>47</v>
      </c>
      <c r="I255" t="s">
        <v>30</v>
      </c>
      <c r="J255" t="s">
        <v>48</v>
      </c>
      <c r="K255" t="s">
        <v>1900</v>
      </c>
      <c r="L255" t="s">
        <v>1881</v>
      </c>
      <c r="M255" t="s">
        <v>32</v>
      </c>
      <c r="N255">
        <f>Main5[[#This Row],[Quantity]]*Main5[[#This Row],[Unit Price]]</f>
        <v>664.42</v>
      </c>
      <c r="O255">
        <f>Main5[[#This Row],[Unit Price]]-Main5[[#This Row],[Unit Price]]*0.2</f>
        <v>531.53599999999994</v>
      </c>
      <c r="P255">
        <f>Main5[[#This Row],[Total Price]]-Main5[[#This Row],[Cost Price]]</f>
        <v>132.88400000000001</v>
      </c>
      <c r="Q255" t="str">
        <f>TEXT(Main5[[#This Row],[Date]],"mmm")</f>
        <v>Jun</v>
      </c>
    </row>
    <row r="256" spans="1:17" x14ac:dyDescent="0.25">
      <c r="A256" t="s">
        <v>1695</v>
      </c>
      <c r="B256" t="s">
        <v>2719</v>
      </c>
      <c r="C256" t="s">
        <v>1696</v>
      </c>
      <c r="D256" t="s">
        <v>60</v>
      </c>
      <c r="E256" t="s">
        <v>1883</v>
      </c>
      <c r="F256" t="s">
        <v>2720</v>
      </c>
      <c r="G256" t="s">
        <v>1697</v>
      </c>
      <c r="H256" t="s">
        <v>15</v>
      </c>
      <c r="I256" t="s">
        <v>23</v>
      </c>
      <c r="J256" t="s">
        <v>1698</v>
      </c>
      <c r="K256" t="s">
        <v>1878</v>
      </c>
      <c r="L256" t="s">
        <v>1881</v>
      </c>
      <c r="M256" t="s">
        <v>63</v>
      </c>
      <c r="N256">
        <f>Main5[[#This Row],[Quantity]]*Main5[[#This Row],[Unit Price]]</f>
        <v>661.38</v>
      </c>
      <c r="O256">
        <f>Main5[[#This Row],[Unit Price]]-Main5[[#This Row],[Unit Price]]*0.2</f>
        <v>264.55200000000002</v>
      </c>
      <c r="P256">
        <f>Main5[[#This Row],[Total Price]]-Main5[[#This Row],[Cost Price]]</f>
        <v>396.82799999999997</v>
      </c>
      <c r="Q256" t="str">
        <f>TEXT(Main5[[#This Row],[Date]],"mmm")</f>
        <v>Jun</v>
      </c>
    </row>
    <row r="257" spans="1:17" x14ac:dyDescent="0.25">
      <c r="A257" t="s">
        <v>1407</v>
      </c>
      <c r="B257" t="s">
        <v>2573</v>
      </c>
      <c r="C257" t="s">
        <v>1408</v>
      </c>
      <c r="D257" t="s">
        <v>20</v>
      </c>
      <c r="E257" t="s">
        <v>1891</v>
      </c>
      <c r="F257" t="s">
        <v>2574</v>
      </c>
      <c r="G257" t="s">
        <v>1409</v>
      </c>
      <c r="H257" t="s">
        <v>52</v>
      </c>
      <c r="I257" t="s">
        <v>75</v>
      </c>
      <c r="J257" t="s">
        <v>1410</v>
      </c>
      <c r="K257" t="s">
        <v>1894</v>
      </c>
      <c r="L257" t="s">
        <v>1881</v>
      </c>
      <c r="M257" t="s">
        <v>63</v>
      </c>
      <c r="N257">
        <f>Main5[[#This Row],[Quantity]]*Main5[[#This Row],[Unit Price]]</f>
        <v>657.07</v>
      </c>
      <c r="O257">
        <f>Main5[[#This Row],[Unit Price]]-Main5[[#This Row],[Unit Price]]*0.2</f>
        <v>525.65600000000006</v>
      </c>
      <c r="P257">
        <f>Main5[[#This Row],[Total Price]]-Main5[[#This Row],[Cost Price]]</f>
        <v>131.41399999999999</v>
      </c>
      <c r="Q257" t="str">
        <f>TEXT(Main5[[#This Row],[Date]],"mmm")</f>
        <v>Oct</v>
      </c>
    </row>
    <row r="258" spans="1:17" x14ac:dyDescent="0.25">
      <c r="A258" t="s">
        <v>1044</v>
      </c>
      <c r="B258" t="s">
        <v>2394</v>
      </c>
      <c r="C258" t="s">
        <v>1045</v>
      </c>
      <c r="D258" t="s">
        <v>20</v>
      </c>
      <c r="E258" t="s">
        <v>1891</v>
      </c>
      <c r="F258" t="s">
        <v>2395</v>
      </c>
      <c r="G258" t="s">
        <v>1046</v>
      </c>
      <c r="H258" t="s">
        <v>52</v>
      </c>
      <c r="I258" t="s">
        <v>75</v>
      </c>
      <c r="J258" t="s">
        <v>1047</v>
      </c>
      <c r="K258" t="s">
        <v>1900</v>
      </c>
      <c r="L258" t="s">
        <v>1906</v>
      </c>
      <c r="M258" t="s">
        <v>17</v>
      </c>
      <c r="N258">
        <f>Main5[[#This Row],[Quantity]]*Main5[[#This Row],[Unit Price]]</f>
        <v>655.09</v>
      </c>
      <c r="O258">
        <f>Main5[[#This Row],[Unit Price]]-Main5[[#This Row],[Unit Price]]*0.2</f>
        <v>524.072</v>
      </c>
      <c r="P258">
        <f>Main5[[#This Row],[Total Price]]-Main5[[#This Row],[Cost Price]]</f>
        <v>131.01800000000003</v>
      </c>
      <c r="Q258" t="str">
        <f>TEXT(Main5[[#This Row],[Date]],"mmm")</f>
        <v>Dec</v>
      </c>
    </row>
    <row r="259" spans="1:17" x14ac:dyDescent="0.25">
      <c r="A259" t="s">
        <v>1353</v>
      </c>
      <c r="B259" t="s">
        <v>2545</v>
      </c>
      <c r="C259" t="s">
        <v>1354</v>
      </c>
      <c r="D259" t="s">
        <v>45</v>
      </c>
      <c r="E259" t="s">
        <v>1891</v>
      </c>
      <c r="F259" t="s">
        <v>2546</v>
      </c>
      <c r="G259" t="s">
        <v>1355</v>
      </c>
      <c r="H259" t="s">
        <v>47</v>
      </c>
      <c r="I259" t="s">
        <v>75</v>
      </c>
      <c r="J259" t="s">
        <v>1356</v>
      </c>
      <c r="K259" t="s">
        <v>1883</v>
      </c>
      <c r="L259" t="s">
        <v>1881</v>
      </c>
      <c r="M259" t="s">
        <v>32</v>
      </c>
      <c r="N259">
        <f>Main5[[#This Row],[Quantity]]*Main5[[#This Row],[Unit Price]]</f>
        <v>654.27</v>
      </c>
      <c r="O259">
        <f>Main5[[#This Row],[Unit Price]]-Main5[[#This Row],[Unit Price]]*0.2</f>
        <v>523.41599999999994</v>
      </c>
      <c r="P259">
        <f>Main5[[#This Row],[Total Price]]-Main5[[#This Row],[Cost Price]]</f>
        <v>130.85400000000004</v>
      </c>
      <c r="Q259" t="str">
        <f>TEXT(Main5[[#This Row],[Date]],"mmm")</f>
        <v>Jan</v>
      </c>
    </row>
    <row r="260" spans="1:17" x14ac:dyDescent="0.25">
      <c r="A260" t="s">
        <v>1542</v>
      </c>
      <c r="B260" t="s">
        <v>2639</v>
      </c>
      <c r="C260" t="s">
        <v>1543</v>
      </c>
      <c r="D260" t="s">
        <v>60</v>
      </c>
      <c r="E260" t="s">
        <v>1878</v>
      </c>
      <c r="F260" t="s">
        <v>2640</v>
      </c>
      <c r="G260" t="s">
        <v>1544</v>
      </c>
      <c r="H260" t="s">
        <v>52</v>
      </c>
      <c r="I260" t="s">
        <v>75</v>
      </c>
      <c r="J260" t="s">
        <v>1545</v>
      </c>
      <c r="K260" t="s">
        <v>1954</v>
      </c>
      <c r="L260" t="s">
        <v>1889</v>
      </c>
      <c r="M260" t="s">
        <v>10</v>
      </c>
      <c r="N260">
        <f>Main5[[#This Row],[Quantity]]*Main5[[#This Row],[Unit Price]]</f>
        <v>644.75</v>
      </c>
      <c r="O260">
        <f>Main5[[#This Row],[Unit Price]]-Main5[[#This Row],[Unit Price]]*0.2</f>
        <v>103.16</v>
      </c>
      <c r="P260">
        <f>Main5[[#This Row],[Total Price]]-Main5[[#This Row],[Cost Price]]</f>
        <v>541.59</v>
      </c>
      <c r="Q260" t="str">
        <f>TEXT(Main5[[#This Row],[Date]],"mmm")</f>
        <v>Sep</v>
      </c>
    </row>
    <row r="261" spans="1:17" x14ac:dyDescent="0.25">
      <c r="A261" t="s">
        <v>1140</v>
      </c>
      <c r="B261" t="s">
        <v>2440</v>
      </c>
      <c r="C261" t="s">
        <v>1141</v>
      </c>
      <c r="D261" t="s">
        <v>60</v>
      </c>
      <c r="E261" t="s">
        <v>1894</v>
      </c>
      <c r="F261" t="s">
        <v>2441</v>
      </c>
      <c r="G261" t="s">
        <v>1142</v>
      </c>
      <c r="H261" t="s">
        <v>7</v>
      </c>
      <c r="I261" t="s">
        <v>30</v>
      </c>
      <c r="J261" t="s">
        <v>1143</v>
      </c>
      <c r="K261" t="s">
        <v>1903</v>
      </c>
      <c r="L261" t="s">
        <v>1911</v>
      </c>
      <c r="M261" t="s">
        <v>10</v>
      </c>
      <c r="N261">
        <f>Main5[[#This Row],[Quantity]]*Main5[[#This Row],[Unit Price]]</f>
        <v>640.88</v>
      </c>
      <c r="O261">
        <f>Main5[[#This Row],[Unit Price]]-Main5[[#This Row],[Unit Price]]*0.2</f>
        <v>128.17599999999999</v>
      </c>
      <c r="P261">
        <f>Main5[[#This Row],[Total Price]]-Main5[[#This Row],[Cost Price]]</f>
        <v>512.70399999999995</v>
      </c>
      <c r="Q261" t="str">
        <f>TEXT(Main5[[#This Row],[Date]],"mmm")</f>
        <v>Sep</v>
      </c>
    </row>
    <row r="262" spans="1:17" x14ac:dyDescent="0.25">
      <c r="A262" t="s">
        <v>544</v>
      </c>
      <c r="B262" t="s">
        <v>2149</v>
      </c>
      <c r="C262" t="s">
        <v>545</v>
      </c>
      <c r="D262" t="s">
        <v>13</v>
      </c>
      <c r="E262" t="s">
        <v>1883</v>
      </c>
      <c r="F262" t="s">
        <v>2150</v>
      </c>
      <c r="G262" t="s">
        <v>546</v>
      </c>
      <c r="H262" t="s">
        <v>22</v>
      </c>
      <c r="I262" t="s">
        <v>23</v>
      </c>
      <c r="J262" t="s">
        <v>547</v>
      </c>
      <c r="K262" t="s">
        <v>1885</v>
      </c>
      <c r="L262" t="s">
        <v>1911</v>
      </c>
      <c r="M262" t="s">
        <v>63</v>
      </c>
      <c r="N262">
        <f>Main5[[#This Row],[Quantity]]*Main5[[#This Row],[Unit Price]]</f>
        <v>639.82000000000005</v>
      </c>
      <c r="O262">
        <f>Main5[[#This Row],[Unit Price]]-Main5[[#This Row],[Unit Price]]*0.2</f>
        <v>255.92800000000003</v>
      </c>
      <c r="P262">
        <f>Main5[[#This Row],[Total Price]]-Main5[[#This Row],[Cost Price]]</f>
        <v>383.89200000000005</v>
      </c>
      <c r="Q262" t="str">
        <f>TEXT(Main5[[#This Row],[Date]],"mmm")</f>
        <v>Dec</v>
      </c>
    </row>
    <row r="263" spans="1:17" x14ac:dyDescent="0.25">
      <c r="A263" t="s">
        <v>265</v>
      </c>
      <c r="B263" t="s">
        <v>2011</v>
      </c>
      <c r="C263" t="s">
        <v>266</v>
      </c>
      <c r="D263" t="s">
        <v>28</v>
      </c>
      <c r="E263" t="s">
        <v>1878</v>
      </c>
      <c r="F263" t="s">
        <v>2012</v>
      </c>
      <c r="G263" t="s">
        <v>267</v>
      </c>
      <c r="H263" t="s">
        <v>52</v>
      </c>
      <c r="I263" t="s">
        <v>23</v>
      </c>
      <c r="J263" t="s">
        <v>268</v>
      </c>
      <c r="K263" t="s">
        <v>1903</v>
      </c>
      <c r="L263" t="s">
        <v>1881</v>
      </c>
      <c r="M263" t="s">
        <v>17</v>
      </c>
      <c r="N263">
        <f>Main5[[#This Row],[Quantity]]*Main5[[#This Row],[Unit Price]]</f>
        <v>635.90000000000009</v>
      </c>
      <c r="O263">
        <f>Main5[[#This Row],[Unit Price]]-Main5[[#This Row],[Unit Price]]*0.2</f>
        <v>101.744</v>
      </c>
      <c r="P263">
        <f>Main5[[#This Row],[Total Price]]-Main5[[#This Row],[Cost Price]]</f>
        <v>534.15600000000006</v>
      </c>
      <c r="Q263" t="str">
        <f>TEXT(Main5[[#This Row],[Date]],"mmm")</f>
        <v>Nov</v>
      </c>
    </row>
    <row r="264" spans="1:17" x14ac:dyDescent="0.25">
      <c r="A264" t="s">
        <v>805</v>
      </c>
      <c r="B264" t="s">
        <v>2278</v>
      </c>
      <c r="C264" t="s">
        <v>806</v>
      </c>
      <c r="D264" t="s">
        <v>60</v>
      </c>
      <c r="E264" t="s">
        <v>1883</v>
      </c>
      <c r="F264" t="s">
        <v>2279</v>
      </c>
      <c r="G264" t="s">
        <v>807</v>
      </c>
      <c r="H264" t="s">
        <v>7</v>
      </c>
      <c r="I264" t="s">
        <v>23</v>
      </c>
      <c r="J264" t="s">
        <v>808</v>
      </c>
      <c r="K264" t="s">
        <v>1894</v>
      </c>
      <c r="L264" t="s">
        <v>1911</v>
      </c>
      <c r="M264" t="s">
        <v>32</v>
      </c>
      <c r="N264">
        <f>Main5[[#This Row],[Quantity]]*Main5[[#This Row],[Unit Price]]</f>
        <v>635.54</v>
      </c>
      <c r="O264">
        <f>Main5[[#This Row],[Unit Price]]-Main5[[#This Row],[Unit Price]]*0.2</f>
        <v>254.21599999999998</v>
      </c>
      <c r="P264">
        <f>Main5[[#This Row],[Total Price]]-Main5[[#This Row],[Cost Price]]</f>
        <v>381.32399999999996</v>
      </c>
      <c r="Q264" t="str">
        <f>TEXT(Main5[[#This Row],[Date]],"mmm")</f>
        <v>Feb</v>
      </c>
    </row>
    <row r="265" spans="1:17" x14ac:dyDescent="0.25">
      <c r="A265" t="s">
        <v>1833</v>
      </c>
      <c r="B265" t="s">
        <v>2793</v>
      </c>
      <c r="C265" t="s">
        <v>1834</v>
      </c>
      <c r="D265" t="s">
        <v>45</v>
      </c>
      <c r="E265" t="s">
        <v>1891</v>
      </c>
      <c r="F265" t="s">
        <v>2794</v>
      </c>
      <c r="G265" t="s">
        <v>1835</v>
      </c>
      <c r="H265" t="s">
        <v>15</v>
      </c>
      <c r="I265" t="s">
        <v>23</v>
      </c>
      <c r="J265" t="s">
        <v>1836</v>
      </c>
      <c r="K265" t="s">
        <v>1878</v>
      </c>
      <c r="L265" t="s">
        <v>1911</v>
      </c>
      <c r="M265" t="s">
        <v>10</v>
      </c>
      <c r="N265">
        <f>Main5[[#This Row],[Quantity]]*Main5[[#This Row],[Unit Price]]</f>
        <v>634.94000000000005</v>
      </c>
      <c r="O265">
        <f>Main5[[#This Row],[Unit Price]]-Main5[[#This Row],[Unit Price]]*0.2</f>
        <v>507.95200000000006</v>
      </c>
      <c r="P265">
        <f>Main5[[#This Row],[Total Price]]-Main5[[#This Row],[Cost Price]]</f>
        <v>126.988</v>
      </c>
      <c r="Q265" t="str">
        <f>TEXT(Main5[[#This Row],[Date]],"mmm")</f>
        <v>Mar</v>
      </c>
    </row>
    <row r="266" spans="1:17" x14ac:dyDescent="0.25">
      <c r="A266" t="s">
        <v>716</v>
      </c>
      <c r="B266" t="s">
        <v>2233</v>
      </c>
      <c r="C266" t="s">
        <v>717</v>
      </c>
      <c r="D266" t="s">
        <v>45</v>
      </c>
      <c r="E266" t="s">
        <v>1891</v>
      </c>
      <c r="F266" t="s">
        <v>2234</v>
      </c>
      <c r="G266" t="s">
        <v>718</v>
      </c>
      <c r="H266" t="s">
        <v>52</v>
      </c>
      <c r="I266" t="s">
        <v>23</v>
      </c>
      <c r="J266" t="s">
        <v>719</v>
      </c>
      <c r="K266" t="s">
        <v>1900</v>
      </c>
      <c r="L266" t="s">
        <v>1881</v>
      </c>
      <c r="M266" t="s">
        <v>25</v>
      </c>
      <c r="N266">
        <f>Main5[[#This Row],[Quantity]]*Main5[[#This Row],[Unit Price]]</f>
        <v>634.4</v>
      </c>
      <c r="O266">
        <f>Main5[[#This Row],[Unit Price]]-Main5[[#This Row],[Unit Price]]*0.2</f>
        <v>507.52</v>
      </c>
      <c r="P266">
        <f>Main5[[#This Row],[Total Price]]-Main5[[#This Row],[Cost Price]]</f>
        <v>126.88</v>
      </c>
      <c r="Q266" t="str">
        <f>TEXT(Main5[[#This Row],[Date]],"mmm")</f>
        <v>Apr</v>
      </c>
    </row>
    <row r="267" spans="1:17" x14ac:dyDescent="0.25">
      <c r="A267" t="s">
        <v>277</v>
      </c>
      <c r="B267" t="s">
        <v>2017</v>
      </c>
      <c r="C267" t="s">
        <v>278</v>
      </c>
      <c r="D267" t="s">
        <v>60</v>
      </c>
      <c r="E267" t="s">
        <v>1891</v>
      </c>
      <c r="F267" t="s">
        <v>2018</v>
      </c>
      <c r="G267" t="s">
        <v>279</v>
      </c>
      <c r="H267" t="s">
        <v>47</v>
      </c>
      <c r="I267" t="s">
        <v>75</v>
      </c>
      <c r="J267" t="s">
        <v>280</v>
      </c>
      <c r="K267" t="s">
        <v>1883</v>
      </c>
      <c r="L267" t="s">
        <v>1889</v>
      </c>
      <c r="M267" t="s">
        <v>10</v>
      </c>
      <c r="N267">
        <f>Main5[[#This Row],[Quantity]]*Main5[[#This Row],[Unit Price]]</f>
        <v>629.21</v>
      </c>
      <c r="O267">
        <f>Main5[[#This Row],[Unit Price]]-Main5[[#This Row],[Unit Price]]*0.2</f>
        <v>503.36800000000005</v>
      </c>
      <c r="P267">
        <f>Main5[[#This Row],[Total Price]]-Main5[[#This Row],[Cost Price]]</f>
        <v>125.84199999999998</v>
      </c>
      <c r="Q267" t="str">
        <f>TEXT(Main5[[#This Row],[Date]],"mmm")</f>
        <v>May</v>
      </c>
    </row>
    <row r="268" spans="1:17" x14ac:dyDescent="0.25">
      <c r="A268" t="s">
        <v>1761</v>
      </c>
      <c r="B268" t="s">
        <v>2753</v>
      </c>
      <c r="C268" t="s">
        <v>1762</v>
      </c>
      <c r="D268" t="s">
        <v>60</v>
      </c>
      <c r="E268" t="s">
        <v>1891</v>
      </c>
      <c r="F268" t="s">
        <v>2754</v>
      </c>
      <c r="G268" t="s">
        <v>1763</v>
      </c>
      <c r="H268" t="s">
        <v>52</v>
      </c>
      <c r="I268" t="s">
        <v>37</v>
      </c>
      <c r="J268" t="s">
        <v>1764</v>
      </c>
      <c r="K268" t="s">
        <v>1878</v>
      </c>
      <c r="L268" t="s">
        <v>1881</v>
      </c>
      <c r="M268" t="s">
        <v>10</v>
      </c>
      <c r="N268">
        <f>Main5[[#This Row],[Quantity]]*Main5[[#This Row],[Unit Price]]</f>
        <v>627.15</v>
      </c>
      <c r="O268">
        <f>Main5[[#This Row],[Unit Price]]-Main5[[#This Row],[Unit Price]]*0.2</f>
        <v>501.71999999999997</v>
      </c>
      <c r="P268">
        <f>Main5[[#This Row],[Total Price]]-Main5[[#This Row],[Cost Price]]</f>
        <v>125.43</v>
      </c>
      <c r="Q268" t="str">
        <f>TEXT(Main5[[#This Row],[Date]],"mmm")</f>
        <v>Sep</v>
      </c>
    </row>
    <row r="269" spans="1:17" x14ac:dyDescent="0.25">
      <c r="A269" t="s">
        <v>1007</v>
      </c>
      <c r="B269" t="s">
        <v>2376</v>
      </c>
      <c r="C269" t="s">
        <v>1008</v>
      </c>
      <c r="D269" t="s">
        <v>60</v>
      </c>
      <c r="E269" t="s">
        <v>1878</v>
      </c>
      <c r="F269" t="s">
        <v>2377</v>
      </c>
      <c r="G269" t="s">
        <v>1009</v>
      </c>
      <c r="H269" t="s">
        <v>7</v>
      </c>
      <c r="I269" t="s">
        <v>75</v>
      </c>
      <c r="J269" t="s">
        <v>1010</v>
      </c>
      <c r="K269" t="s">
        <v>1903</v>
      </c>
      <c r="L269" t="s">
        <v>1881</v>
      </c>
      <c r="M269" t="s">
        <v>63</v>
      </c>
      <c r="N269">
        <f>Main5[[#This Row],[Quantity]]*Main5[[#This Row],[Unit Price]]</f>
        <v>625.1</v>
      </c>
      <c r="O269">
        <f>Main5[[#This Row],[Unit Price]]-Main5[[#This Row],[Unit Price]]*0.2</f>
        <v>100.01599999999999</v>
      </c>
      <c r="P269">
        <f>Main5[[#This Row],[Total Price]]-Main5[[#This Row],[Cost Price]]</f>
        <v>525.08400000000006</v>
      </c>
      <c r="Q269" t="str">
        <f>TEXT(Main5[[#This Row],[Date]],"mmm")</f>
        <v>Jul</v>
      </c>
    </row>
    <row r="270" spans="1:17" x14ac:dyDescent="0.25">
      <c r="A270" t="s">
        <v>695</v>
      </c>
      <c r="B270" t="s">
        <v>2223</v>
      </c>
      <c r="C270" t="s">
        <v>696</v>
      </c>
      <c r="D270" t="s">
        <v>13</v>
      </c>
      <c r="E270" t="s">
        <v>1891</v>
      </c>
      <c r="F270" t="s">
        <v>2224</v>
      </c>
      <c r="G270" t="s">
        <v>697</v>
      </c>
      <c r="H270" t="s">
        <v>15</v>
      </c>
      <c r="I270" t="s">
        <v>30</v>
      </c>
      <c r="J270" t="s">
        <v>698</v>
      </c>
      <c r="K270" t="s">
        <v>1878</v>
      </c>
      <c r="L270" t="s">
        <v>1911</v>
      </c>
      <c r="M270" t="s">
        <v>63</v>
      </c>
      <c r="N270">
        <f>Main5[[#This Row],[Quantity]]*Main5[[#This Row],[Unit Price]]</f>
        <v>625</v>
      </c>
      <c r="O270">
        <f>Main5[[#This Row],[Unit Price]]-Main5[[#This Row],[Unit Price]]*0.2</f>
        <v>500</v>
      </c>
      <c r="P270">
        <f>Main5[[#This Row],[Total Price]]-Main5[[#This Row],[Cost Price]]</f>
        <v>125</v>
      </c>
      <c r="Q270" t="str">
        <f>TEXT(Main5[[#This Row],[Date]],"mmm")</f>
        <v>Jan</v>
      </c>
    </row>
    <row r="271" spans="1:17" x14ac:dyDescent="0.25">
      <c r="A271" t="s">
        <v>309</v>
      </c>
      <c r="B271" t="s">
        <v>2033</v>
      </c>
      <c r="C271" t="s">
        <v>310</v>
      </c>
      <c r="D271" t="s">
        <v>20</v>
      </c>
      <c r="E271" t="s">
        <v>1883</v>
      </c>
      <c r="F271" t="s">
        <v>2034</v>
      </c>
      <c r="G271" t="s">
        <v>311</v>
      </c>
      <c r="H271" t="s">
        <v>15</v>
      </c>
      <c r="I271" t="s">
        <v>8</v>
      </c>
      <c r="J271" t="s">
        <v>312</v>
      </c>
      <c r="K271" t="s">
        <v>1883</v>
      </c>
      <c r="L271" t="s">
        <v>1906</v>
      </c>
      <c r="M271" t="s">
        <v>32</v>
      </c>
      <c r="N271">
        <f>Main5[[#This Row],[Quantity]]*Main5[[#This Row],[Unit Price]]</f>
        <v>623.82000000000005</v>
      </c>
      <c r="O271">
        <f>Main5[[#This Row],[Unit Price]]-Main5[[#This Row],[Unit Price]]*0.2</f>
        <v>249.52800000000002</v>
      </c>
      <c r="P271">
        <f>Main5[[#This Row],[Total Price]]-Main5[[#This Row],[Cost Price]]</f>
        <v>374.29200000000003</v>
      </c>
      <c r="Q271" t="str">
        <f>TEXT(Main5[[#This Row],[Date]],"mmm")</f>
        <v>Mar</v>
      </c>
    </row>
    <row r="272" spans="1:17" x14ac:dyDescent="0.25">
      <c r="A272" t="s">
        <v>1148</v>
      </c>
      <c r="B272" t="s">
        <v>2443</v>
      </c>
      <c r="C272" t="s">
        <v>1149</v>
      </c>
      <c r="D272" t="s">
        <v>20</v>
      </c>
      <c r="E272" t="s">
        <v>1891</v>
      </c>
      <c r="F272" t="s">
        <v>2444</v>
      </c>
      <c r="G272" t="s">
        <v>899</v>
      </c>
      <c r="H272" t="s">
        <v>15</v>
      </c>
      <c r="I272" t="s">
        <v>30</v>
      </c>
      <c r="J272" t="s">
        <v>1150</v>
      </c>
      <c r="K272" t="s">
        <v>1891</v>
      </c>
      <c r="L272" t="s">
        <v>1889</v>
      </c>
      <c r="M272" t="s">
        <v>17</v>
      </c>
      <c r="N272">
        <f>Main5[[#This Row],[Quantity]]*Main5[[#This Row],[Unit Price]]</f>
        <v>620.21</v>
      </c>
      <c r="O272">
        <f>Main5[[#This Row],[Unit Price]]-Main5[[#This Row],[Unit Price]]*0.2</f>
        <v>496.16800000000001</v>
      </c>
      <c r="P272">
        <f>Main5[[#This Row],[Total Price]]-Main5[[#This Row],[Cost Price]]</f>
        <v>124.04200000000003</v>
      </c>
      <c r="Q272" t="str">
        <f>TEXT(Main5[[#This Row],[Date]],"mmm")</f>
        <v>Nov</v>
      </c>
    </row>
    <row r="273" spans="1:17" x14ac:dyDescent="0.25">
      <c r="A273" t="s">
        <v>1333</v>
      </c>
      <c r="B273" t="s">
        <v>2535</v>
      </c>
      <c r="C273" t="s">
        <v>1334</v>
      </c>
      <c r="D273" t="s">
        <v>28</v>
      </c>
      <c r="E273" t="s">
        <v>1891</v>
      </c>
      <c r="F273" t="s">
        <v>2536</v>
      </c>
      <c r="G273" t="s">
        <v>1335</v>
      </c>
      <c r="H273" t="s">
        <v>52</v>
      </c>
      <c r="I273" t="s">
        <v>30</v>
      </c>
      <c r="J273" t="s">
        <v>1336</v>
      </c>
      <c r="K273" t="s">
        <v>1900</v>
      </c>
      <c r="L273" t="s">
        <v>1906</v>
      </c>
      <c r="M273" t="s">
        <v>25</v>
      </c>
      <c r="N273">
        <f>Main5[[#This Row],[Quantity]]*Main5[[#This Row],[Unit Price]]</f>
        <v>616.1</v>
      </c>
      <c r="O273">
        <f>Main5[[#This Row],[Unit Price]]-Main5[[#This Row],[Unit Price]]*0.2</f>
        <v>492.88</v>
      </c>
      <c r="P273">
        <f>Main5[[#This Row],[Total Price]]-Main5[[#This Row],[Cost Price]]</f>
        <v>123.22000000000003</v>
      </c>
      <c r="Q273" t="str">
        <f>TEXT(Main5[[#This Row],[Date]],"mmm")</f>
        <v>Jun</v>
      </c>
    </row>
    <row r="274" spans="1:17" x14ac:dyDescent="0.25">
      <c r="A274" t="s">
        <v>971</v>
      </c>
      <c r="B274" t="s">
        <v>2358</v>
      </c>
      <c r="C274" t="s">
        <v>972</v>
      </c>
      <c r="D274" t="s">
        <v>60</v>
      </c>
      <c r="E274" t="s">
        <v>1894</v>
      </c>
      <c r="F274" t="s">
        <v>2359</v>
      </c>
      <c r="G274" t="s">
        <v>973</v>
      </c>
      <c r="H274" t="s">
        <v>15</v>
      </c>
      <c r="I274" t="s">
        <v>37</v>
      </c>
      <c r="J274" t="s">
        <v>974</v>
      </c>
      <c r="K274" t="s">
        <v>1894</v>
      </c>
      <c r="L274" t="s">
        <v>1889</v>
      </c>
      <c r="M274" t="s">
        <v>17</v>
      </c>
      <c r="N274">
        <f>Main5[[#This Row],[Quantity]]*Main5[[#This Row],[Unit Price]]</f>
        <v>612.36</v>
      </c>
      <c r="O274">
        <f>Main5[[#This Row],[Unit Price]]-Main5[[#This Row],[Unit Price]]*0.2</f>
        <v>122.47200000000001</v>
      </c>
      <c r="P274">
        <f>Main5[[#This Row],[Total Price]]-Main5[[#This Row],[Cost Price]]</f>
        <v>489.88800000000003</v>
      </c>
      <c r="Q274" t="str">
        <f>TEXT(Main5[[#This Row],[Date]],"mmm")</f>
        <v>Oct</v>
      </c>
    </row>
    <row r="275" spans="1:17" x14ac:dyDescent="0.25">
      <c r="A275" t="s">
        <v>77</v>
      </c>
      <c r="B275" t="s">
        <v>1916</v>
      </c>
      <c r="C275" t="s">
        <v>78</v>
      </c>
      <c r="D275" t="s">
        <v>45</v>
      </c>
      <c r="E275" t="s">
        <v>1885</v>
      </c>
      <c r="F275" t="s">
        <v>1917</v>
      </c>
      <c r="G275" t="s">
        <v>79</v>
      </c>
      <c r="H275" t="s">
        <v>22</v>
      </c>
      <c r="I275" t="s">
        <v>30</v>
      </c>
      <c r="J275" t="s">
        <v>80</v>
      </c>
      <c r="K275" t="s">
        <v>1894</v>
      </c>
      <c r="L275" t="s">
        <v>1889</v>
      </c>
      <c r="M275" t="s">
        <v>32</v>
      </c>
      <c r="N275">
        <f>Main5[[#This Row],[Quantity]]*Main5[[#This Row],[Unit Price]]</f>
        <v>604.47</v>
      </c>
      <c r="O275">
        <f>Main5[[#This Row],[Unit Price]]-Main5[[#This Row],[Unit Price]]*0.2</f>
        <v>161.19200000000001</v>
      </c>
      <c r="P275">
        <f>Main5[[#This Row],[Total Price]]-Main5[[#This Row],[Cost Price]]</f>
        <v>443.27800000000002</v>
      </c>
      <c r="Q275" t="str">
        <f>TEXT(Main5[[#This Row],[Date]],"mmm")</f>
        <v>Aug</v>
      </c>
    </row>
    <row r="276" spans="1:17" x14ac:dyDescent="0.25">
      <c r="A276" t="s">
        <v>1283</v>
      </c>
      <c r="B276" t="s">
        <v>2509</v>
      </c>
      <c r="C276" t="s">
        <v>1284</v>
      </c>
      <c r="D276" t="s">
        <v>35</v>
      </c>
      <c r="E276" t="s">
        <v>1885</v>
      </c>
      <c r="F276" t="s">
        <v>2510</v>
      </c>
      <c r="G276" t="s">
        <v>1285</v>
      </c>
      <c r="H276" t="s">
        <v>15</v>
      </c>
      <c r="I276" t="s">
        <v>23</v>
      </c>
      <c r="J276" t="s">
        <v>1286</v>
      </c>
      <c r="K276" t="s">
        <v>1885</v>
      </c>
      <c r="L276" t="s">
        <v>1881</v>
      </c>
      <c r="M276" t="s">
        <v>63</v>
      </c>
      <c r="N276">
        <f>Main5[[#This Row],[Quantity]]*Main5[[#This Row],[Unit Price]]</f>
        <v>603.63</v>
      </c>
      <c r="O276">
        <f>Main5[[#This Row],[Unit Price]]-Main5[[#This Row],[Unit Price]]*0.2</f>
        <v>160.96800000000002</v>
      </c>
      <c r="P276">
        <f>Main5[[#This Row],[Total Price]]-Main5[[#This Row],[Cost Price]]</f>
        <v>442.66199999999998</v>
      </c>
      <c r="Q276" t="str">
        <f>TEXT(Main5[[#This Row],[Date]],"mmm")</f>
        <v>Mar</v>
      </c>
    </row>
    <row r="277" spans="1:17" x14ac:dyDescent="0.25">
      <c r="A277" t="s">
        <v>642</v>
      </c>
      <c r="B277" t="s">
        <v>2197</v>
      </c>
      <c r="C277" t="s">
        <v>643</v>
      </c>
      <c r="D277" t="s">
        <v>60</v>
      </c>
      <c r="E277" t="s">
        <v>1891</v>
      </c>
      <c r="F277" t="s">
        <v>2198</v>
      </c>
      <c r="G277" t="s">
        <v>644</v>
      </c>
      <c r="H277" t="s">
        <v>7</v>
      </c>
      <c r="I277" t="s">
        <v>75</v>
      </c>
      <c r="J277" t="s">
        <v>645</v>
      </c>
      <c r="K277" t="s">
        <v>1894</v>
      </c>
      <c r="L277" t="s">
        <v>1911</v>
      </c>
      <c r="M277" t="s">
        <v>63</v>
      </c>
      <c r="N277">
        <f>Main5[[#This Row],[Quantity]]*Main5[[#This Row],[Unit Price]]</f>
        <v>600.54</v>
      </c>
      <c r="O277">
        <f>Main5[[#This Row],[Unit Price]]-Main5[[#This Row],[Unit Price]]*0.2</f>
        <v>480.43199999999996</v>
      </c>
      <c r="P277">
        <f>Main5[[#This Row],[Total Price]]-Main5[[#This Row],[Cost Price]]</f>
        <v>120.108</v>
      </c>
      <c r="Q277" t="str">
        <f>TEXT(Main5[[#This Row],[Date]],"mmm")</f>
        <v>Mar</v>
      </c>
    </row>
    <row r="278" spans="1:17" x14ac:dyDescent="0.25">
      <c r="A278" t="s">
        <v>1703</v>
      </c>
      <c r="B278" t="s">
        <v>2723</v>
      </c>
      <c r="C278" t="s">
        <v>1704</v>
      </c>
      <c r="D278" t="s">
        <v>28</v>
      </c>
      <c r="E278" t="s">
        <v>1891</v>
      </c>
      <c r="F278" t="s">
        <v>2724</v>
      </c>
      <c r="G278" t="s">
        <v>1705</v>
      </c>
      <c r="H278" t="s">
        <v>47</v>
      </c>
      <c r="I278" t="s">
        <v>8</v>
      </c>
      <c r="J278" t="s">
        <v>1706</v>
      </c>
      <c r="K278" t="s">
        <v>1894</v>
      </c>
      <c r="L278" t="s">
        <v>1906</v>
      </c>
      <c r="M278" t="s">
        <v>10</v>
      </c>
      <c r="N278">
        <f>Main5[[#This Row],[Quantity]]*Main5[[#This Row],[Unit Price]]</f>
        <v>595.54</v>
      </c>
      <c r="O278">
        <f>Main5[[#This Row],[Unit Price]]-Main5[[#This Row],[Unit Price]]*0.2</f>
        <v>476.43199999999996</v>
      </c>
      <c r="P278">
        <f>Main5[[#This Row],[Total Price]]-Main5[[#This Row],[Cost Price]]</f>
        <v>119.108</v>
      </c>
      <c r="Q278" t="str">
        <f>TEXT(Main5[[#This Row],[Date]],"mmm")</f>
        <v>May</v>
      </c>
    </row>
    <row r="279" spans="1:17" x14ac:dyDescent="0.25">
      <c r="A279" t="s">
        <v>921</v>
      </c>
      <c r="B279" t="s">
        <v>2334</v>
      </c>
      <c r="C279" t="s">
        <v>922</v>
      </c>
      <c r="D279" t="s">
        <v>13</v>
      </c>
      <c r="E279" t="s">
        <v>1883</v>
      </c>
      <c r="F279" t="s">
        <v>2335</v>
      </c>
      <c r="G279" t="s">
        <v>923</v>
      </c>
      <c r="H279" t="s">
        <v>15</v>
      </c>
      <c r="I279" t="s">
        <v>8</v>
      </c>
      <c r="J279" t="s">
        <v>924</v>
      </c>
      <c r="K279" t="s">
        <v>1880</v>
      </c>
      <c r="L279" t="s">
        <v>1881</v>
      </c>
      <c r="M279" t="s">
        <v>17</v>
      </c>
      <c r="N279">
        <f>Main5[[#This Row],[Quantity]]*Main5[[#This Row],[Unit Price]]</f>
        <v>595.41999999999996</v>
      </c>
      <c r="O279">
        <f>Main5[[#This Row],[Unit Price]]-Main5[[#This Row],[Unit Price]]*0.2</f>
        <v>238.16799999999998</v>
      </c>
      <c r="P279">
        <f>Main5[[#This Row],[Total Price]]-Main5[[#This Row],[Cost Price]]</f>
        <v>357.25199999999995</v>
      </c>
      <c r="Q279" t="str">
        <f>TEXT(Main5[[#This Row],[Date]],"mmm")</f>
        <v>Apr</v>
      </c>
    </row>
    <row r="280" spans="1:17" x14ac:dyDescent="0.25">
      <c r="A280" t="s">
        <v>593</v>
      </c>
      <c r="B280" t="s">
        <v>2173</v>
      </c>
      <c r="C280" t="s">
        <v>594</v>
      </c>
      <c r="D280" t="s">
        <v>35</v>
      </c>
      <c r="E280" t="s">
        <v>1891</v>
      </c>
      <c r="F280" t="s">
        <v>2174</v>
      </c>
      <c r="G280" t="s">
        <v>595</v>
      </c>
      <c r="H280" t="s">
        <v>52</v>
      </c>
      <c r="I280" t="s">
        <v>30</v>
      </c>
      <c r="J280" t="s">
        <v>596</v>
      </c>
      <c r="K280" t="s">
        <v>1900</v>
      </c>
      <c r="L280" t="s">
        <v>1906</v>
      </c>
      <c r="M280" t="s">
        <v>32</v>
      </c>
      <c r="N280">
        <f>Main5[[#This Row],[Quantity]]*Main5[[#This Row],[Unit Price]]</f>
        <v>594.96</v>
      </c>
      <c r="O280">
        <f>Main5[[#This Row],[Unit Price]]-Main5[[#This Row],[Unit Price]]*0.2</f>
        <v>475.96800000000002</v>
      </c>
      <c r="P280">
        <f>Main5[[#This Row],[Total Price]]-Main5[[#This Row],[Cost Price]]</f>
        <v>118.99200000000002</v>
      </c>
      <c r="Q280" t="str">
        <f>TEXT(Main5[[#This Row],[Date]],"mmm")</f>
        <v>Jan</v>
      </c>
    </row>
    <row r="281" spans="1:17" x14ac:dyDescent="0.25">
      <c r="A281" t="s">
        <v>659</v>
      </c>
      <c r="B281" t="s">
        <v>2205</v>
      </c>
      <c r="C281" t="s">
        <v>660</v>
      </c>
      <c r="D281" t="s">
        <v>28</v>
      </c>
      <c r="E281" t="s">
        <v>1891</v>
      </c>
      <c r="F281" t="s">
        <v>2206</v>
      </c>
      <c r="G281" t="s">
        <v>661</v>
      </c>
      <c r="H281" t="s">
        <v>47</v>
      </c>
      <c r="I281" t="s">
        <v>30</v>
      </c>
      <c r="J281" t="s">
        <v>662</v>
      </c>
      <c r="K281" t="s">
        <v>1900</v>
      </c>
      <c r="L281" t="s">
        <v>1889</v>
      </c>
      <c r="M281" t="s">
        <v>17</v>
      </c>
      <c r="N281">
        <f>Main5[[#This Row],[Quantity]]*Main5[[#This Row],[Unit Price]]</f>
        <v>590.87</v>
      </c>
      <c r="O281">
        <f>Main5[[#This Row],[Unit Price]]-Main5[[#This Row],[Unit Price]]*0.2</f>
        <v>472.69600000000003</v>
      </c>
      <c r="P281">
        <f>Main5[[#This Row],[Total Price]]-Main5[[#This Row],[Cost Price]]</f>
        <v>118.17399999999998</v>
      </c>
      <c r="Q281" t="str">
        <f>TEXT(Main5[[#This Row],[Date]],"mmm")</f>
        <v>Feb</v>
      </c>
    </row>
    <row r="282" spans="1:17" x14ac:dyDescent="0.25">
      <c r="A282" t="s">
        <v>213</v>
      </c>
      <c r="B282" t="s">
        <v>1985</v>
      </c>
      <c r="C282" t="s">
        <v>214</v>
      </c>
      <c r="D282" t="s">
        <v>20</v>
      </c>
      <c r="E282" t="s">
        <v>1891</v>
      </c>
      <c r="F282" t="s">
        <v>1986</v>
      </c>
      <c r="G282" t="s">
        <v>215</v>
      </c>
      <c r="H282" t="s">
        <v>15</v>
      </c>
      <c r="I282" t="s">
        <v>30</v>
      </c>
      <c r="J282" t="s">
        <v>216</v>
      </c>
      <c r="K282" t="s">
        <v>1878</v>
      </c>
      <c r="L282" t="s">
        <v>1881</v>
      </c>
      <c r="M282" t="s">
        <v>32</v>
      </c>
      <c r="N282">
        <f>Main5[[#This Row],[Quantity]]*Main5[[#This Row],[Unit Price]]</f>
        <v>586.44000000000005</v>
      </c>
      <c r="O282">
        <f>Main5[[#This Row],[Unit Price]]-Main5[[#This Row],[Unit Price]]*0.2</f>
        <v>469.15200000000004</v>
      </c>
      <c r="P282">
        <f>Main5[[#This Row],[Total Price]]-Main5[[#This Row],[Cost Price]]</f>
        <v>117.28800000000001</v>
      </c>
      <c r="Q282" t="str">
        <f>TEXT(Main5[[#This Row],[Date]],"mmm")</f>
        <v>Sep</v>
      </c>
    </row>
    <row r="283" spans="1:17" x14ac:dyDescent="0.25">
      <c r="A283" t="s">
        <v>520</v>
      </c>
      <c r="B283" t="s">
        <v>2137</v>
      </c>
      <c r="C283" t="s">
        <v>521</v>
      </c>
      <c r="D283" t="s">
        <v>13</v>
      </c>
      <c r="E283" t="s">
        <v>1891</v>
      </c>
      <c r="F283" t="s">
        <v>2138</v>
      </c>
      <c r="G283" t="s">
        <v>522</v>
      </c>
      <c r="H283" t="s">
        <v>52</v>
      </c>
      <c r="I283" t="s">
        <v>30</v>
      </c>
      <c r="J283" t="s">
        <v>523</v>
      </c>
      <c r="K283" t="s">
        <v>1891</v>
      </c>
      <c r="L283" t="s">
        <v>1906</v>
      </c>
      <c r="M283" t="s">
        <v>25</v>
      </c>
      <c r="N283">
        <f>Main5[[#This Row],[Quantity]]*Main5[[#This Row],[Unit Price]]</f>
        <v>583.9</v>
      </c>
      <c r="O283">
        <f>Main5[[#This Row],[Unit Price]]-Main5[[#This Row],[Unit Price]]*0.2</f>
        <v>467.12</v>
      </c>
      <c r="P283">
        <f>Main5[[#This Row],[Total Price]]-Main5[[#This Row],[Cost Price]]</f>
        <v>116.77999999999997</v>
      </c>
      <c r="Q283" t="str">
        <f>TEXT(Main5[[#This Row],[Date]],"mmm")</f>
        <v>Apr</v>
      </c>
    </row>
    <row r="284" spans="1:17" x14ac:dyDescent="0.25">
      <c r="A284" t="s">
        <v>301</v>
      </c>
      <c r="B284" t="s">
        <v>2029</v>
      </c>
      <c r="C284" t="s">
        <v>302</v>
      </c>
      <c r="D284" t="s">
        <v>13</v>
      </c>
      <c r="E284" t="s">
        <v>1891</v>
      </c>
      <c r="F284" t="s">
        <v>2030</v>
      </c>
      <c r="G284" t="s">
        <v>303</v>
      </c>
      <c r="H284" t="s">
        <v>22</v>
      </c>
      <c r="I284" t="s">
        <v>30</v>
      </c>
      <c r="J284" t="s">
        <v>304</v>
      </c>
      <c r="K284" t="s">
        <v>1878</v>
      </c>
      <c r="L284" t="s">
        <v>1906</v>
      </c>
      <c r="M284" t="s">
        <v>63</v>
      </c>
      <c r="N284">
        <f>Main5[[#This Row],[Quantity]]*Main5[[#This Row],[Unit Price]]</f>
        <v>583.17999999999995</v>
      </c>
      <c r="O284">
        <f>Main5[[#This Row],[Unit Price]]-Main5[[#This Row],[Unit Price]]*0.2</f>
        <v>466.54399999999998</v>
      </c>
      <c r="P284">
        <f>Main5[[#This Row],[Total Price]]-Main5[[#This Row],[Cost Price]]</f>
        <v>116.63599999999997</v>
      </c>
      <c r="Q284" t="str">
        <f>TEXT(Main5[[#This Row],[Date]],"mmm")</f>
        <v>May</v>
      </c>
    </row>
    <row r="285" spans="1:17" x14ac:dyDescent="0.25">
      <c r="A285" t="s">
        <v>399</v>
      </c>
      <c r="B285" t="s">
        <v>2077</v>
      </c>
      <c r="C285" t="s">
        <v>400</v>
      </c>
      <c r="D285" t="s">
        <v>13</v>
      </c>
      <c r="E285" t="s">
        <v>1891</v>
      </c>
      <c r="F285" t="s">
        <v>2078</v>
      </c>
      <c r="G285" t="s">
        <v>401</v>
      </c>
      <c r="H285" t="s">
        <v>47</v>
      </c>
      <c r="I285" t="s">
        <v>37</v>
      </c>
      <c r="J285" t="s">
        <v>402</v>
      </c>
      <c r="K285" t="s">
        <v>1891</v>
      </c>
      <c r="L285" t="s">
        <v>1889</v>
      </c>
      <c r="M285" t="s">
        <v>25</v>
      </c>
      <c r="N285">
        <f>Main5[[#This Row],[Quantity]]*Main5[[#This Row],[Unit Price]]</f>
        <v>582.04</v>
      </c>
      <c r="O285">
        <f>Main5[[#This Row],[Unit Price]]-Main5[[#This Row],[Unit Price]]*0.2</f>
        <v>465.63199999999995</v>
      </c>
      <c r="P285">
        <f>Main5[[#This Row],[Total Price]]-Main5[[#This Row],[Cost Price]]</f>
        <v>116.40800000000002</v>
      </c>
      <c r="Q285" t="str">
        <f>TEXT(Main5[[#This Row],[Date]],"mmm")</f>
        <v>Jul</v>
      </c>
    </row>
    <row r="286" spans="1:17" x14ac:dyDescent="0.25">
      <c r="A286" t="s">
        <v>708</v>
      </c>
      <c r="B286" t="s">
        <v>2229</v>
      </c>
      <c r="C286" t="s">
        <v>709</v>
      </c>
      <c r="D286" t="s">
        <v>35</v>
      </c>
      <c r="E286" t="s">
        <v>1885</v>
      </c>
      <c r="F286" t="s">
        <v>2230</v>
      </c>
      <c r="G286" t="s">
        <v>710</v>
      </c>
      <c r="H286" t="s">
        <v>47</v>
      </c>
      <c r="I286" t="s">
        <v>75</v>
      </c>
      <c r="J286" t="s">
        <v>711</v>
      </c>
      <c r="K286" t="s">
        <v>1880</v>
      </c>
      <c r="L286" t="s">
        <v>1889</v>
      </c>
      <c r="M286" t="s">
        <v>25</v>
      </c>
      <c r="N286">
        <f>Main5[[#This Row],[Quantity]]*Main5[[#This Row],[Unit Price]]</f>
        <v>580.74</v>
      </c>
      <c r="O286">
        <f>Main5[[#This Row],[Unit Price]]-Main5[[#This Row],[Unit Price]]*0.2</f>
        <v>154.864</v>
      </c>
      <c r="P286">
        <f>Main5[[#This Row],[Total Price]]-Main5[[#This Row],[Cost Price]]</f>
        <v>425.87599999999998</v>
      </c>
      <c r="Q286" t="str">
        <f>TEXT(Main5[[#This Row],[Date]],"mmm")</f>
        <v>Jan</v>
      </c>
    </row>
    <row r="287" spans="1:17" x14ac:dyDescent="0.25">
      <c r="A287" t="s">
        <v>1383</v>
      </c>
      <c r="B287" t="s">
        <v>2561</v>
      </c>
      <c r="C287" t="s">
        <v>1384</v>
      </c>
      <c r="D287" t="s">
        <v>28</v>
      </c>
      <c r="E287" t="s">
        <v>1894</v>
      </c>
      <c r="F287" t="s">
        <v>2562</v>
      </c>
      <c r="G287" t="s">
        <v>1385</v>
      </c>
      <c r="H287" t="s">
        <v>15</v>
      </c>
      <c r="I287" t="s">
        <v>37</v>
      </c>
      <c r="J287" t="s">
        <v>1386</v>
      </c>
      <c r="K287" t="s">
        <v>1900</v>
      </c>
      <c r="L287" t="s">
        <v>1881</v>
      </c>
      <c r="M287" t="s">
        <v>63</v>
      </c>
      <c r="N287">
        <f>Main5[[#This Row],[Quantity]]*Main5[[#This Row],[Unit Price]]</f>
        <v>580.20000000000005</v>
      </c>
      <c r="O287">
        <f>Main5[[#This Row],[Unit Price]]-Main5[[#This Row],[Unit Price]]*0.2</f>
        <v>116.04</v>
      </c>
      <c r="P287">
        <f>Main5[[#This Row],[Total Price]]-Main5[[#This Row],[Cost Price]]</f>
        <v>464.16</v>
      </c>
      <c r="Q287" t="str">
        <f>TEXT(Main5[[#This Row],[Date]],"mmm")</f>
        <v>Mar</v>
      </c>
    </row>
    <row r="288" spans="1:17" x14ac:dyDescent="0.25">
      <c r="A288" t="s">
        <v>858</v>
      </c>
      <c r="B288" t="s">
        <v>2304</v>
      </c>
      <c r="C288" t="s">
        <v>859</v>
      </c>
      <c r="D288" t="s">
        <v>35</v>
      </c>
      <c r="E288" t="s">
        <v>1891</v>
      </c>
      <c r="F288" t="s">
        <v>2305</v>
      </c>
      <c r="G288" t="s">
        <v>860</v>
      </c>
      <c r="H288" t="s">
        <v>7</v>
      </c>
      <c r="I288" t="s">
        <v>23</v>
      </c>
      <c r="J288" t="s">
        <v>861</v>
      </c>
      <c r="K288" t="s">
        <v>1894</v>
      </c>
      <c r="L288" t="s">
        <v>1881</v>
      </c>
      <c r="M288" t="s">
        <v>63</v>
      </c>
      <c r="N288">
        <f>Main5[[#This Row],[Quantity]]*Main5[[#This Row],[Unit Price]]</f>
        <v>572.13</v>
      </c>
      <c r="O288">
        <f>Main5[[#This Row],[Unit Price]]-Main5[[#This Row],[Unit Price]]*0.2</f>
        <v>457.70400000000001</v>
      </c>
      <c r="P288">
        <f>Main5[[#This Row],[Total Price]]-Main5[[#This Row],[Cost Price]]</f>
        <v>114.42599999999999</v>
      </c>
      <c r="Q288" t="str">
        <f>TEXT(Main5[[#This Row],[Date]],"mmm")</f>
        <v>Dec</v>
      </c>
    </row>
    <row r="289" spans="1:17" x14ac:dyDescent="0.25">
      <c r="A289" t="s">
        <v>1684</v>
      </c>
      <c r="B289" t="s">
        <v>2713</v>
      </c>
      <c r="C289" t="s">
        <v>1685</v>
      </c>
      <c r="D289" t="s">
        <v>35</v>
      </c>
      <c r="E289" t="s">
        <v>1894</v>
      </c>
      <c r="F289" t="s">
        <v>2714</v>
      </c>
      <c r="G289" t="s">
        <v>1686</v>
      </c>
      <c r="H289" t="s">
        <v>52</v>
      </c>
      <c r="I289" t="s">
        <v>37</v>
      </c>
      <c r="J289" t="s">
        <v>1687</v>
      </c>
      <c r="K289" t="s">
        <v>1894</v>
      </c>
      <c r="L289" t="s">
        <v>1889</v>
      </c>
      <c r="M289" t="s">
        <v>32</v>
      </c>
      <c r="N289">
        <f>Main5[[#This Row],[Quantity]]*Main5[[#This Row],[Unit Price]]</f>
        <v>570.32000000000005</v>
      </c>
      <c r="O289">
        <f>Main5[[#This Row],[Unit Price]]-Main5[[#This Row],[Unit Price]]*0.2</f>
        <v>114.06400000000001</v>
      </c>
      <c r="P289">
        <f>Main5[[#This Row],[Total Price]]-Main5[[#This Row],[Cost Price]]</f>
        <v>456.25600000000003</v>
      </c>
      <c r="Q289" t="str">
        <f>TEXT(Main5[[#This Row],[Date]],"mmm")</f>
        <v>May</v>
      </c>
    </row>
    <row r="290" spans="1:17" x14ac:dyDescent="0.25">
      <c r="A290" t="s">
        <v>253</v>
      </c>
      <c r="B290" t="s">
        <v>2005</v>
      </c>
      <c r="C290" t="s">
        <v>254</v>
      </c>
      <c r="D290" t="s">
        <v>28</v>
      </c>
      <c r="E290" t="s">
        <v>1891</v>
      </c>
      <c r="F290" t="s">
        <v>2006</v>
      </c>
      <c r="G290" t="s">
        <v>255</v>
      </c>
      <c r="H290" t="s">
        <v>7</v>
      </c>
      <c r="I290" t="s">
        <v>8</v>
      </c>
      <c r="J290" t="s">
        <v>256</v>
      </c>
      <c r="K290" t="s">
        <v>1900</v>
      </c>
      <c r="L290" t="s">
        <v>1911</v>
      </c>
      <c r="M290" t="s">
        <v>17</v>
      </c>
      <c r="N290">
        <f>Main5[[#This Row],[Quantity]]*Main5[[#This Row],[Unit Price]]</f>
        <v>564.86</v>
      </c>
      <c r="O290">
        <f>Main5[[#This Row],[Unit Price]]-Main5[[#This Row],[Unit Price]]*0.2</f>
        <v>451.88800000000003</v>
      </c>
      <c r="P290">
        <f>Main5[[#This Row],[Total Price]]-Main5[[#This Row],[Cost Price]]</f>
        <v>112.97199999999998</v>
      </c>
      <c r="Q290" t="str">
        <f>TEXT(Main5[[#This Row],[Date]],"mmm")</f>
        <v>Feb</v>
      </c>
    </row>
    <row r="291" spans="1:17" x14ac:dyDescent="0.25">
      <c r="A291" t="s">
        <v>757</v>
      </c>
      <c r="B291" t="s">
        <v>2254</v>
      </c>
      <c r="C291" t="s">
        <v>758</v>
      </c>
      <c r="D291" t="s">
        <v>20</v>
      </c>
      <c r="E291" t="s">
        <v>1891</v>
      </c>
      <c r="F291" t="s">
        <v>2255</v>
      </c>
      <c r="G291" t="s">
        <v>759</v>
      </c>
      <c r="H291" t="s">
        <v>22</v>
      </c>
      <c r="I291" t="s">
        <v>37</v>
      </c>
      <c r="J291" t="s">
        <v>760</v>
      </c>
      <c r="K291" t="s">
        <v>1885</v>
      </c>
      <c r="L291" t="s">
        <v>1911</v>
      </c>
      <c r="M291" t="s">
        <v>32</v>
      </c>
      <c r="N291">
        <f>Main5[[#This Row],[Quantity]]*Main5[[#This Row],[Unit Price]]</f>
        <v>562.61</v>
      </c>
      <c r="O291">
        <f>Main5[[#This Row],[Unit Price]]-Main5[[#This Row],[Unit Price]]*0.2</f>
        <v>450.08800000000002</v>
      </c>
      <c r="P291">
        <f>Main5[[#This Row],[Total Price]]-Main5[[#This Row],[Cost Price]]</f>
        <v>112.52199999999999</v>
      </c>
      <c r="Q291" t="str">
        <f>TEXT(Main5[[#This Row],[Date]],"mmm")</f>
        <v>Mar</v>
      </c>
    </row>
    <row r="292" spans="1:17" x14ac:dyDescent="0.25">
      <c r="A292" t="s">
        <v>1296</v>
      </c>
      <c r="B292" t="s">
        <v>2515</v>
      </c>
      <c r="C292" t="s">
        <v>1297</v>
      </c>
      <c r="D292" t="s">
        <v>13</v>
      </c>
      <c r="E292" t="s">
        <v>1891</v>
      </c>
      <c r="F292" t="s">
        <v>2516</v>
      </c>
      <c r="G292" t="s">
        <v>1298</v>
      </c>
      <c r="H292" t="s">
        <v>15</v>
      </c>
      <c r="I292" t="s">
        <v>37</v>
      </c>
      <c r="J292" t="s">
        <v>1299</v>
      </c>
      <c r="K292" t="s">
        <v>1891</v>
      </c>
      <c r="L292" t="s">
        <v>1906</v>
      </c>
      <c r="M292" t="s">
        <v>17</v>
      </c>
      <c r="N292">
        <f>Main5[[#This Row],[Quantity]]*Main5[[#This Row],[Unit Price]]</f>
        <v>558.27</v>
      </c>
      <c r="O292">
        <f>Main5[[#This Row],[Unit Price]]-Main5[[#This Row],[Unit Price]]*0.2</f>
        <v>446.61599999999999</v>
      </c>
      <c r="P292">
        <f>Main5[[#This Row],[Total Price]]-Main5[[#This Row],[Cost Price]]</f>
        <v>111.654</v>
      </c>
      <c r="Q292" t="str">
        <f>TEXT(Main5[[#This Row],[Date]],"mmm")</f>
        <v>May</v>
      </c>
    </row>
    <row r="293" spans="1:17" x14ac:dyDescent="0.25">
      <c r="A293" t="s">
        <v>403</v>
      </c>
      <c r="B293" t="s">
        <v>2079</v>
      </c>
      <c r="C293" t="s">
        <v>404</v>
      </c>
      <c r="D293" t="s">
        <v>35</v>
      </c>
      <c r="E293" t="s">
        <v>1885</v>
      </c>
      <c r="F293" t="s">
        <v>2080</v>
      </c>
      <c r="G293" t="s">
        <v>405</v>
      </c>
      <c r="H293" t="s">
        <v>47</v>
      </c>
      <c r="I293" t="s">
        <v>23</v>
      </c>
      <c r="J293" t="s">
        <v>406</v>
      </c>
      <c r="K293" t="s">
        <v>1880</v>
      </c>
      <c r="L293" t="s">
        <v>1906</v>
      </c>
      <c r="M293" t="s">
        <v>32</v>
      </c>
      <c r="N293">
        <f>Main5[[#This Row],[Quantity]]*Main5[[#This Row],[Unit Price]]</f>
        <v>556.20000000000005</v>
      </c>
      <c r="O293">
        <f>Main5[[#This Row],[Unit Price]]-Main5[[#This Row],[Unit Price]]*0.2</f>
        <v>148.32</v>
      </c>
      <c r="P293">
        <f>Main5[[#This Row],[Total Price]]-Main5[[#This Row],[Cost Price]]</f>
        <v>407.88000000000005</v>
      </c>
      <c r="Q293" t="str">
        <f>TEXT(Main5[[#This Row],[Date]],"mmm")</f>
        <v>Oct</v>
      </c>
    </row>
    <row r="294" spans="1:17" x14ac:dyDescent="0.25">
      <c r="A294" t="s">
        <v>1643</v>
      </c>
      <c r="B294" t="s">
        <v>2691</v>
      </c>
      <c r="C294" t="s">
        <v>1644</v>
      </c>
      <c r="D294" t="s">
        <v>20</v>
      </c>
      <c r="E294" t="s">
        <v>1891</v>
      </c>
      <c r="F294" t="s">
        <v>2692</v>
      </c>
      <c r="G294" t="s">
        <v>1645</v>
      </c>
      <c r="H294" t="s">
        <v>22</v>
      </c>
      <c r="I294" t="s">
        <v>23</v>
      </c>
      <c r="J294" t="s">
        <v>1646</v>
      </c>
      <c r="K294" t="s">
        <v>1878</v>
      </c>
      <c r="L294" t="s">
        <v>1906</v>
      </c>
      <c r="M294" t="s">
        <v>17</v>
      </c>
      <c r="N294">
        <f>Main5[[#This Row],[Quantity]]*Main5[[#This Row],[Unit Price]]</f>
        <v>553.55999999999995</v>
      </c>
      <c r="O294">
        <f>Main5[[#This Row],[Unit Price]]-Main5[[#This Row],[Unit Price]]*0.2</f>
        <v>442.84799999999996</v>
      </c>
      <c r="P294">
        <f>Main5[[#This Row],[Total Price]]-Main5[[#This Row],[Cost Price]]</f>
        <v>110.71199999999999</v>
      </c>
      <c r="Q294" t="str">
        <f>TEXT(Main5[[#This Row],[Date]],"mmm")</f>
        <v>May</v>
      </c>
    </row>
    <row r="295" spans="1:17" x14ac:dyDescent="0.25">
      <c r="A295" t="s">
        <v>1418</v>
      </c>
      <c r="B295" t="s">
        <v>2577</v>
      </c>
      <c r="C295" t="s">
        <v>1419</v>
      </c>
      <c r="D295" t="s">
        <v>20</v>
      </c>
      <c r="E295" t="s">
        <v>1885</v>
      </c>
      <c r="F295" t="s">
        <v>2578</v>
      </c>
      <c r="G295" t="s">
        <v>1420</v>
      </c>
      <c r="H295" t="s">
        <v>15</v>
      </c>
      <c r="I295" t="s">
        <v>23</v>
      </c>
      <c r="J295" t="s">
        <v>1421</v>
      </c>
      <c r="K295" t="s">
        <v>1894</v>
      </c>
      <c r="L295" t="s">
        <v>1906</v>
      </c>
      <c r="M295" t="s">
        <v>17</v>
      </c>
      <c r="N295">
        <f>Main5[[#This Row],[Quantity]]*Main5[[#This Row],[Unit Price]]</f>
        <v>553.41</v>
      </c>
      <c r="O295">
        <f>Main5[[#This Row],[Unit Price]]-Main5[[#This Row],[Unit Price]]*0.2</f>
        <v>147.57599999999999</v>
      </c>
      <c r="P295">
        <f>Main5[[#This Row],[Total Price]]-Main5[[#This Row],[Cost Price]]</f>
        <v>405.83399999999995</v>
      </c>
      <c r="Q295" t="str">
        <f>TEXT(Main5[[#This Row],[Date]],"mmm")</f>
        <v>Feb</v>
      </c>
    </row>
    <row r="296" spans="1:17" x14ac:dyDescent="0.25">
      <c r="A296" t="s">
        <v>1816</v>
      </c>
      <c r="B296" t="s">
        <v>2783</v>
      </c>
      <c r="C296" t="s">
        <v>1817</v>
      </c>
      <c r="D296" t="s">
        <v>20</v>
      </c>
      <c r="E296" t="s">
        <v>1883</v>
      </c>
      <c r="F296" t="s">
        <v>2784</v>
      </c>
      <c r="G296" t="s">
        <v>1053</v>
      </c>
      <c r="H296" t="s">
        <v>52</v>
      </c>
      <c r="I296" t="s">
        <v>8</v>
      </c>
      <c r="J296" t="s">
        <v>1818</v>
      </c>
      <c r="K296" t="s">
        <v>1880</v>
      </c>
      <c r="L296" t="s">
        <v>1911</v>
      </c>
      <c r="M296" t="s">
        <v>17</v>
      </c>
      <c r="N296">
        <f>Main5[[#This Row],[Quantity]]*Main5[[#This Row],[Unit Price]]</f>
        <v>546.86</v>
      </c>
      <c r="O296">
        <f>Main5[[#This Row],[Unit Price]]-Main5[[#This Row],[Unit Price]]*0.2</f>
        <v>218.744</v>
      </c>
      <c r="P296">
        <f>Main5[[#This Row],[Total Price]]-Main5[[#This Row],[Cost Price]]</f>
        <v>328.11599999999999</v>
      </c>
      <c r="Q296" t="str">
        <f>TEXT(Main5[[#This Row],[Date]],"mmm")</f>
        <v>May</v>
      </c>
    </row>
    <row r="297" spans="1:17" x14ac:dyDescent="0.25">
      <c r="A297" t="s">
        <v>821</v>
      </c>
      <c r="B297" t="s">
        <v>2286</v>
      </c>
      <c r="C297" t="s">
        <v>822</v>
      </c>
      <c r="D297" t="s">
        <v>35</v>
      </c>
      <c r="E297" t="s">
        <v>1891</v>
      </c>
      <c r="F297" t="s">
        <v>2287</v>
      </c>
      <c r="G297" t="s">
        <v>823</v>
      </c>
      <c r="H297" t="s">
        <v>52</v>
      </c>
      <c r="I297" t="s">
        <v>75</v>
      </c>
      <c r="J297" t="s">
        <v>824</v>
      </c>
      <c r="K297" t="s">
        <v>1878</v>
      </c>
      <c r="L297" t="s">
        <v>1889</v>
      </c>
      <c r="M297" t="s">
        <v>17</v>
      </c>
      <c r="N297">
        <f>Main5[[#This Row],[Quantity]]*Main5[[#This Row],[Unit Price]]</f>
        <v>546.19000000000005</v>
      </c>
      <c r="O297">
        <f>Main5[[#This Row],[Unit Price]]-Main5[[#This Row],[Unit Price]]*0.2</f>
        <v>436.95200000000006</v>
      </c>
      <c r="P297">
        <f>Main5[[#This Row],[Total Price]]-Main5[[#This Row],[Cost Price]]</f>
        <v>109.238</v>
      </c>
      <c r="Q297" t="str">
        <f>TEXT(Main5[[#This Row],[Date]],"mmm")</f>
        <v>Feb</v>
      </c>
    </row>
    <row r="298" spans="1:17" x14ac:dyDescent="0.25">
      <c r="A298" t="s">
        <v>568</v>
      </c>
      <c r="B298" t="s">
        <v>2161</v>
      </c>
      <c r="C298" t="s">
        <v>569</v>
      </c>
      <c r="D298" t="s">
        <v>28</v>
      </c>
      <c r="E298" t="s">
        <v>1883</v>
      </c>
      <c r="F298" t="s">
        <v>2162</v>
      </c>
      <c r="G298" t="s">
        <v>570</v>
      </c>
      <c r="H298" t="s">
        <v>15</v>
      </c>
      <c r="I298" t="s">
        <v>37</v>
      </c>
      <c r="J298" t="s">
        <v>571</v>
      </c>
      <c r="K298" t="s">
        <v>1894</v>
      </c>
      <c r="L298" t="s">
        <v>1881</v>
      </c>
      <c r="M298" t="s">
        <v>25</v>
      </c>
      <c r="N298">
        <f>Main5[[#This Row],[Quantity]]*Main5[[#This Row],[Unit Price]]</f>
        <v>539.66</v>
      </c>
      <c r="O298">
        <f>Main5[[#This Row],[Unit Price]]-Main5[[#This Row],[Unit Price]]*0.2</f>
        <v>215.86399999999998</v>
      </c>
      <c r="P298">
        <f>Main5[[#This Row],[Total Price]]-Main5[[#This Row],[Cost Price]]</f>
        <v>323.79599999999999</v>
      </c>
      <c r="Q298" t="str">
        <f>TEXT(Main5[[#This Row],[Date]],"mmm")</f>
        <v>Nov</v>
      </c>
    </row>
    <row r="299" spans="1:17" x14ac:dyDescent="0.25">
      <c r="A299" t="s">
        <v>925</v>
      </c>
      <c r="B299" t="s">
        <v>2336</v>
      </c>
      <c r="C299" t="s">
        <v>926</v>
      </c>
      <c r="D299" t="s">
        <v>35</v>
      </c>
      <c r="E299" t="s">
        <v>1878</v>
      </c>
      <c r="F299" t="s">
        <v>2337</v>
      </c>
      <c r="G299" t="s">
        <v>927</v>
      </c>
      <c r="H299" t="s">
        <v>7</v>
      </c>
      <c r="I299" t="s">
        <v>23</v>
      </c>
      <c r="J299" t="s">
        <v>928</v>
      </c>
      <c r="K299" t="s">
        <v>1903</v>
      </c>
      <c r="L299" t="s">
        <v>1889</v>
      </c>
      <c r="M299" t="s">
        <v>25</v>
      </c>
      <c r="N299">
        <f>Main5[[#This Row],[Quantity]]*Main5[[#This Row],[Unit Price]]</f>
        <v>537.4</v>
      </c>
      <c r="O299">
        <f>Main5[[#This Row],[Unit Price]]-Main5[[#This Row],[Unit Price]]*0.2</f>
        <v>85.984000000000009</v>
      </c>
      <c r="P299">
        <f>Main5[[#This Row],[Total Price]]-Main5[[#This Row],[Cost Price]]</f>
        <v>451.41599999999994</v>
      </c>
      <c r="Q299" t="str">
        <f>TEXT(Main5[[#This Row],[Date]],"mmm")</f>
        <v>Jan</v>
      </c>
    </row>
    <row r="300" spans="1:17" x14ac:dyDescent="0.25">
      <c r="A300" t="s">
        <v>1707</v>
      </c>
      <c r="B300" t="s">
        <v>2725</v>
      </c>
      <c r="C300" t="s">
        <v>1708</v>
      </c>
      <c r="D300" t="s">
        <v>45</v>
      </c>
      <c r="E300" t="s">
        <v>1883</v>
      </c>
      <c r="F300" t="s">
        <v>2726</v>
      </c>
      <c r="G300" t="s">
        <v>1709</v>
      </c>
      <c r="H300" t="s">
        <v>22</v>
      </c>
      <c r="I300" t="s">
        <v>75</v>
      </c>
      <c r="J300" t="s">
        <v>1710</v>
      </c>
      <c r="K300" t="s">
        <v>1885</v>
      </c>
      <c r="L300" t="s">
        <v>1906</v>
      </c>
      <c r="M300" t="s">
        <v>10</v>
      </c>
      <c r="N300">
        <f>Main5[[#This Row],[Quantity]]*Main5[[#This Row],[Unit Price]]</f>
        <v>533.9</v>
      </c>
      <c r="O300">
        <f>Main5[[#This Row],[Unit Price]]-Main5[[#This Row],[Unit Price]]*0.2</f>
        <v>213.56</v>
      </c>
      <c r="P300">
        <f>Main5[[#This Row],[Total Price]]-Main5[[#This Row],[Cost Price]]</f>
        <v>320.33999999999997</v>
      </c>
      <c r="Q300" t="str">
        <f>TEXT(Main5[[#This Row],[Date]],"mmm")</f>
        <v>Jul</v>
      </c>
    </row>
    <row r="301" spans="1:17" x14ac:dyDescent="0.25">
      <c r="A301" t="s">
        <v>1809</v>
      </c>
      <c r="B301" t="s">
        <v>2779</v>
      </c>
      <c r="C301" t="s">
        <v>1810</v>
      </c>
      <c r="D301" t="s">
        <v>20</v>
      </c>
      <c r="E301" t="s">
        <v>1891</v>
      </c>
      <c r="F301" t="s">
        <v>2780</v>
      </c>
      <c r="G301" t="s">
        <v>1811</v>
      </c>
      <c r="H301" t="s">
        <v>15</v>
      </c>
      <c r="I301" t="s">
        <v>8</v>
      </c>
      <c r="J301" t="s">
        <v>1812</v>
      </c>
      <c r="K301" t="s">
        <v>1891</v>
      </c>
      <c r="L301" t="s">
        <v>1911</v>
      </c>
      <c r="M301" t="s">
        <v>63</v>
      </c>
      <c r="N301">
        <f>Main5[[#This Row],[Quantity]]*Main5[[#This Row],[Unit Price]]</f>
        <v>531.74</v>
      </c>
      <c r="O301">
        <f>Main5[[#This Row],[Unit Price]]-Main5[[#This Row],[Unit Price]]*0.2</f>
        <v>425.392</v>
      </c>
      <c r="P301">
        <f>Main5[[#This Row],[Total Price]]-Main5[[#This Row],[Cost Price]]</f>
        <v>106.34800000000001</v>
      </c>
      <c r="Q301" t="str">
        <f>TEXT(Main5[[#This Row],[Date]],"mmm")</f>
        <v>Sep</v>
      </c>
    </row>
    <row r="302" spans="1:17" x14ac:dyDescent="0.25">
      <c r="A302" t="s">
        <v>366</v>
      </c>
      <c r="B302" t="s">
        <v>2061</v>
      </c>
      <c r="C302" t="s">
        <v>367</v>
      </c>
      <c r="D302" t="s">
        <v>28</v>
      </c>
      <c r="E302" t="s">
        <v>1891</v>
      </c>
      <c r="F302" t="s">
        <v>2062</v>
      </c>
      <c r="G302" t="s">
        <v>368</v>
      </c>
      <c r="H302" t="s">
        <v>47</v>
      </c>
      <c r="I302" t="s">
        <v>30</v>
      </c>
      <c r="J302" t="s">
        <v>369</v>
      </c>
      <c r="K302" t="s">
        <v>1900</v>
      </c>
      <c r="L302" t="s">
        <v>1911</v>
      </c>
      <c r="M302" t="s">
        <v>10</v>
      </c>
      <c r="N302">
        <f>Main5[[#This Row],[Quantity]]*Main5[[#This Row],[Unit Price]]</f>
        <v>531.17999999999995</v>
      </c>
      <c r="O302">
        <f>Main5[[#This Row],[Unit Price]]-Main5[[#This Row],[Unit Price]]*0.2</f>
        <v>424.94399999999996</v>
      </c>
      <c r="P302">
        <f>Main5[[#This Row],[Total Price]]-Main5[[#This Row],[Cost Price]]</f>
        <v>106.23599999999999</v>
      </c>
      <c r="Q302" t="str">
        <f>TEXT(Main5[[#This Row],[Date]],"mmm")</f>
        <v>Feb</v>
      </c>
    </row>
    <row r="303" spans="1:17" x14ac:dyDescent="0.25">
      <c r="A303" t="s">
        <v>1322</v>
      </c>
      <c r="B303" t="s">
        <v>2529</v>
      </c>
      <c r="C303" t="s">
        <v>1323</v>
      </c>
      <c r="D303" t="s">
        <v>13</v>
      </c>
      <c r="E303" t="s">
        <v>1891</v>
      </c>
      <c r="F303" t="s">
        <v>2530</v>
      </c>
      <c r="G303" t="s">
        <v>1324</v>
      </c>
      <c r="H303" t="s">
        <v>22</v>
      </c>
      <c r="I303" t="s">
        <v>8</v>
      </c>
      <c r="J303" t="s">
        <v>1325</v>
      </c>
      <c r="K303" t="s">
        <v>1883</v>
      </c>
      <c r="L303" t="s">
        <v>1906</v>
      </c>
      <c r="M303" t="s">
        <v>32</v>
      </c>
      <c r="N303">
        <f>Main5[[#This Row],[Quantity]]*Main5[[#This Row],[Unit Price]]</f>
        <v>528.05999999999995</v>
      </c>
      <c r="O303">
        <f>Main5[[#This Row],[Unit Price]]-Main5[[#This Row],[Unit Price]]*0.2</f>
        <v>422.44799999999998</v>
      </c>
      <c r="P303">
        <f>Main5[[#This Row],[Total Price]]-Main5[[#This Row],[Cost Price]]</f>
        <v>105.61199999999997</v>
      </c>
      <c r="Q303" t="str">
        <f>TEXT(Main5[[#This Row],[Date]],"mmm")</f>
        <v>Feb</v>
      </c>
    </row>
    <row r="304" spans="1:17" x14ac:dyDescent="0.25">
      <c r="A304" t="s">
        <v>1035</v>
      </c>
      <c r="B304" t="s">
        <v>2390</v>
      </c>
      <c r="C304" t="s">
        <v>1036</v>
      </c>
      <c r="D304" t="s">
        <v>35</v>
      </c>
      <c r="E304" t="s">
        <v>1891</v>
      </c>
      <c r="F304" t="s">
        <v>2391</v>
      </c>
      <c r="G304" t="s">
        <v>1037</v>
      </c>
      <c r="H304" t="s">
        <v>7</v>
      </c>
      <c r="I304" t="s">
        <v>75</v>
      </c>
      <c r="J304" t="s">
        <v>1038</v>
      </c>
      <c r="K304" t="s">
        <v>1885</v>
      </c>
      <c r="L304" t="s">
        <v>1889</v>
      </c>
      <c r="M304" t="s">
        <v>32</v>
      </c>
      <c r="N304">
        <f>Main5[[#This Row],[Quantity]]*Main5[[#This Row],[Unit Price]]</f>
        <v>527.57000000000005</v>
      </c>
      <c r="O304">
        <f>Main5[[#This Row],[Unit Price]]-Main5[[#This Row],[Unit Price]]*0.2</f>
        <v>422.05600000000004</v>
      </c>
      <c r="P304">
        <f>Main5[[#This Row],[Total Price]]-Main5[[#This Row],[Cost Price]]</f>
        <v>105.51400000000001</v>
      </c>
      <c r="Q304" t="str">
        <f>TEXT(Main5[[#This Row],[Date]],"mmm")</f>
        <v>Feb</v>
      </c>
    </row>
    <row r="305" spans="1:17" x14ac:dyDescent="0.25">
      <c r="A305" t="s">
        <v>1852</v>
      </c>
      <c r="B305" t="s">
        <v>2803</v>
      </c>
      <c r="C305" t="s">
        <v>1853</v>
      </c>
      <c r="D305" t="s">
        <v>28</v>
      </c>
      <c r="E305" t="s">
        <v>1891</v>
      </c>
      <c r="F305" t="s">
        <v>2804</v>
      </c>
      <c r="G305" t="s">
        <v>1854</v>
      </c>
      <c r="H305" t="s">
        <v>52</v>
      </c>
      <c r="I305" t="s">
        <v>23</v>
      </c>
      <c r="J305" t="s">
        <v>1855</v>
      </c>
      <c r="K305" t="s">
        <v>1883</v>
      </c>
      <c r="L305" t="s">
        <v>1881</v>
      </c>
      <c r="M305" t="s">
        <v>10</v>
      </c>
      <c r="N305">
        <f>Main5[[#This Row],[Quantity]]*Main5[[#This Row],[Unit Price]]</f>
        <v>525.42999999999995</v>
      </c>
      <c r="O305">
        <f>Main5[[#This Row],[Unit Price]]-Main5[[#This Row],[Unit Price]]*0.2</f>
        <v>420.34399999999994</v>
      </c>
      <c r="P305">
        <f>Main5[[#This Row],[Total Price]]-Main5[[#This Row],[Cost Price]]</f>
        <v>105.08600000000001</v>
      </c>
      <c r="Q305" t="str">
        <f>TEXT(Main5[[#This Row],[Date]],"mmm")</f>
        <v>Dec</v>
      </c>
    </row>
    <row r="306" spans="1:17" x14ac:dyDescent="0.25">
      <c r="A306" t="s">
        <v>1692</v>
      </c>
      <c r="B306" t="s">
        <v>2717</v>
      </c>
      <c r="C306" t="s">
        <v>1693</v>
      </c>
      <c r="D306" t="s">
        <v>20</v>
      </c>
      <c r="E306" t="s">
        <v>1891</v>
      </c>
      <c r="F306" t="s">
        <v>2718</v>
      </c>
      <c r="G306" t="s">
        <v>1430</v>
      </c>
      <c r="H306" t="s">
        <v>7</v>
      </c>
      <c r="I306" t="s">
        <v>75</v>
      </c>
      <c r="J306" t="s">
        <v>1694</v>
      </c>
      <c r="K306" t="s">
        <v>1885</v>
      </c>
      <c r="L306" t="s">
        <v>1889</v>
      </c>
      <c r="M306" t="s">
        <v>25</v>
      </c>
      <c r="N306">
        <f>Main5[[#This Row],[Quantity]]*Main5[[#This Row],[Unit Price]]</f>
        <v>524.05999999999995</v>
      </c>
      <c r="O306">
        <f>Main5[[#This Row],[Unit Price]]-Main5[[#This Row],[Unit Price]]*0.2</f>
        <v>419.24799999999993</v>
      </c>
      <c r="P306">
        <f>Main5[[#This Row],[Total Price]]-Main5[[#This Row],[Cost Price]]</f>
        <v>104.81200000000001</v>
      </c>
      <c r="Q306" t="str">
        <f>TEXT(Main5[[#This Row],[Date]],"mmm")</f>
        <v>Jul</v>
      </c>
    </row>
    <row r="307" spans="1:17" x14ac:dyDescent="0.25">
      <c r="A307" t="s">
        <v>1590</v>
      </c>
      <c r="B307" t="s">
        <v>2665</v>
      </c>
      <c r="C307" t="s">
        <v>1591</v>
      </c>
      <c r="D307" t="s">
        <v>45</v>
      </c>
      <c r="E307" t="s">
        <v>1891</v>
      </c>
      <c r="F307" t="s">
        <v>2666</v>
      </c>
      <c r="G307" t="s">
        <v>1592</v>
      </c>
      <c r="H307" t="s">
        <v>7</v>
      </c>
      <c r="I307" t="s">
        <v>75</v>
      </c>
      <c r="J307" t="s">
        <v>1593</v>
      </c>
      <c r="K307" t="s">
        <v>1894</v>
      </c>
      <c r="L307" t="s">
        <v>1889</v>
      </c>
      <c r="M307" t="s">
        <v>10</v>
      </c>
      <c r="N307">
        <f>Main5[[#This Row],[Quantity]]*Main5[[#This Row],[Unit Price]]</f>
        <v>518.39</v>
      </c>
      <c r="O307">
        <f>Main5[[#This Row],[Unit Price]]-Main5[[#This Row],[Unit Price]]*0.2</f>
        <v>414.71199999999999</v>
      </c>
      <c r="P307">
        <f>Main5[[#This Row],[Total Price]]-Main5[[#This Row],[Cost Price]]</f>
        <v>103.678</v>
      </c>
      <c r="Q307" t="str">
        <f>TEXT(Main5[[#This Row],[Date]],"mmm")</f>
        <v>Apr</v>
      </c>
    </row>
    <row r="308" spans="1:17" x14ac:dyDescent="0.25">
      <c r="A308" t="s">
        <v>1260</v>
      </c>
      <c r="B308" t="s">
        <v>2497</v>
      </c>
      <c r="C308" t="s">
        <v>1261</v>
      </c>
      <c r="D308" t="s">
        <v>13</v>
      </c>
      <c r="E308" t="s">
        <v>1883</v>
      </c>
      <c r="F308" t="s">
        <v>2498</v>
      </c>
      <c r="G308" t="s">
        <v>1262</v>
      </c>
      <c r="H308" t="s">
        <v>15</v>
      </c>
      <c r="I308" t="s">
        <v>8</v>
      </c>
      <c r="J308" t="s">
        <v>1263</v>
      </c>
      <c r="K308" t="s">
        <v>1878</v>
      </c>
      <c r="L308" t="s">
        <v>1881</v>
      </c>
      <c r="M308" t="s">
        <v>63</v>
      </c>
      <c r="N308">
        <f>Main5[[#This Row],[Quantity]]*Main5[[#This Row],[Unit Price]]</f>
        <v>507.48</v>
      </c>
      <c r="O308">
        <f>Main5[[#This Row],[Unit Price]]-Main5[[#This Row],[Unit Price]]*0.2</f>
        <v>202.99200000000002</v>
      </c>
      <c r="P308">
        <f>Main5[[#This Row],[Total Price]]-Main5[[#This Row],[Cost Price]]</f>
        <v>304.488</v>
      </c>
      <c r="Q308" t="str">
        <f>TEXT(Main5[[#This Row],[Date]],"mmm")</f>
        <v>Mar</v>
      </c>
    </row>
    <row r="309" spans="1:17" x14ac:dyDescent="0.25">
      <c r="A309" t="s">
        <v>512</v>
      </c>
      <c r="B309" t="s">
        <v>2133</v>
      </c>
      <c r="C309" t="s">
        <v>513</v>
      </c>
      <c r="D309" t="s">
        <v>5</v>
      </c>
      <c r="E309" t="s">
        <v>1883</v>
      </c>
      <c r="F309" t="s">
        <v>2134</v>
      </c>
      <c r="G309" t="s">
        <v>514</v>
      </c>
      <c r="H309" t="s">
        <v>22</v>
      </c>
      <c r="I309" t="s">
        <v>37</v>
      </c>
      <c r="J309" t="s">
        <v>515</v>
      </c>
      <c r="K309" t="s">
        <v>1878</v>
      </c>
      <c r="L309" t="s">
        <v>1906</v>
      </c>
      <c r="M309" t="s">
        <v>63</v>
      </c>
      <c r="N309">
        <f>Main5[[#This Row],[Quantity]]*Main5[[#This Row],[Unit Price]]</f>
        <v>501.96</v>
      </c>
      <c r="O309">
        <f>Main5[[#This Row],[Unit Price]]-Main5[[#This Row],[Unit Price]]*0.2</f>
        <v>200.78399999999999</v>
      </c>
      <c r="P309">
        <f>Main5[[#This Row],[Total Price]]-Main5[[#This Row],[Cost Price]]</f>
        <v>301.17599999999999</v>
      </c>
      <c r="Q309" t="str">
        <f>TEXT(Main5[[#This Row],[Date]],"mmm")</f>
        <v>Nov</v>
      </c>
    </row>
    <row r="310" spans="1:17" x14ac:dyDescent="0.25">
      <c r="A310" t="s">
        <v>39</v>
      </c>
      <c r="B310" t="s">
        <v>1896</v>
      </c>
      <c r="C310" t="s">
        <v>40</v>
      </c>
      <c r="D310" t="s">
        <v>13</v>
      </c>
      <c r="E310" t="s">
        <v>1883</v>
      </c>
      <c r="F310" t="s">
        <v>1897</v>
      </c>
      <c r="G310" t="s">
        <v>41</v>
      </c>
      <c r="H310" t="s">
        <v>22</v>
      </c>
      <c r="I310" t="s">
        <v>8</v>
      </c>
      <c r="J310" t="s">
        <v>42</v>
      </c>
      <c r="K310" t="s">
        <v>1894</v>
      </c>
      <c r="L310" t="s">
        <v>1881</v>
      </c>
      <c r="M310" t="s">
        <v>10</v>
      </c>
      <c r="N310">
        <f>Main5[[#This Row],[Quantity]]*Main5[[#This Row],[Unit Price]]</f>
        <v>491.72</v>
      </c>
      <c r="O310">
        <f>Main5[[#This Row],[Unit Price]]-Main5[[#This Row],[Unit Price]]*0.2</f>
        <v>196.68800000000002</v>
      </c>
      <c r="P310">
        <f>Main5[[#This Row],[Total Price]]-Main5[[#This Row],[Cost Price]]</f>
        <v>295.03200000000004</v>
      </c>
      <c r="Q310" t="str">
        <f>TEXT(Main5[[#This Row],[Date]],"mmm")</f>
        <v>Oct</v>
      </c>
    </row>
    <row r="311" spans="1:17" x14ac:dyDescent="0.25">
      <c r="A311" t="s">
        <v>245</v>
      </c>
      <c r="B311" t="s">
        <v>2001</v>
      </c>
      <c r="C311" t="s">
        <v>246</v>
      </c>
      <c r="D311" t="s">
        <v>60</v>
      </c>
      <c r="E311" t="s">
        <v>1894</v>
      </c>
      <c r="F311" t="s">
        <v>2002</v>
      </c>
      <c r="G311" t="s">
        <v>247</v>
      </c>
      <c r="H311" t="s">
        <v>52</v>
      </c>
      <c r="I311" t="s">
        <v>37</v>
      </c>
      <c r="J311" t="s">
        <v>248</v>
      </c>
      <c r="K311" t="s">
        <v>1880</v>
      </c>
      <c r="L311" t="s">
        <v>1889</v>
      </c>
      <c r="M311" t="s">
        <v>32</v>
      </c>
      <c r="N311">
        <f>Main5[[#This Row],[Quantity]]*Main5[[#This Row],[Unit Price]]</f>
        <v>488.8</v>
      </c>
      <c r="O311">
        <f>Main5[[#This Row],[Unit Price]]-Main5[[#This Row],[Unit Price]]*0.2</f>
        <v>97.76</v>
      </c>
      <c r="P311">
        <f>Main5[[#This Row],[Total Price]]-Main5[[#This Row],[Cost Price]]</f>
        <v>391.04</v>
      </c>
      <c r="Q311" t="str">
        <f>TEXT(Main5[[#This Row],[Date]],"mmm")</f>
        <v>Mar</v>
      </c>
    </row>
    <row r="312" spans="1:17" x14ac:dyDescent="0.25">
      <c r="A312" t="s">
        <v>1594</v>
      </c>
      <c r="B312" t="s">
        <v>2667</v>
      </c>
      <c r="C312" t="s">
        <v>1595</v>
      </c>
      <c r="D312" t="s">
        <v>13</v>
      </c>
      <c r="E312" t="s">
        <v>1883</v>
      </c>
      <c r="F312" t="s">
        <v>2668</v>
      </c>
      <c r="G312" t="s">
        <v>1596</v>
      </c>
      <c r="H312" t="s">
        <v>7</v>
      </c>
      <c r="I312" t="s">
        <v>30</v>
      </c>
      <c r="J312" t="s">
        <v>1597</v>
      </c>
      <c r="K312" t="s">
        <v>1880</v>
      </c>
      <c r="L312" t="s">
        <v>1889</v>
      </c>
      <c r="M312" t="s">
        <v>10</v>
      </c>
      <c r="N312">
        <f>Main5[[#This Row],[Quantity]]*Main5[[#This Row],[Unit Price]]</f>
        <v>482.98</v>
      </c>
      <c r="O312">
        <f>Main5[[#This Row],[Unit Price]]-Main5[[#This Row],[Unit Price]]*0.2</f>
        <v>193.19200000000001</v>
      </c>
      <c r="P312">
        <f>Main5[[#This Row],[Total Price]]-Main5[[#This Row],[Cost Price]]</f>
        <v>289.78800000000001</v>
      </c>
      <c r="Q312" t="str">
        <f>TEXT(Main5[[#This Row],[Date]],"mmm")</f>
        <v>Apr</v>
      </c>
    </row>
    <row r="313" spans="1:17" x14ac:dyDescent="0.25">
      <c r="A313" t="s">
        <v>875</v>
      </c>
      <c r="B313" t="s">
        <v>2312</v>
      </c>
      <c r="C313" t="s">
        <v>876</v>
      </c>
      <c r="D313" t="s">
        <v>20</v>
      </c>
      <c r="E313" t="s">
        <v>1883</v>
      </c>
      <c r="F313" t="s">
        <v>2313</v>
      </c>
      <c r="G313" t="s">
        <v>877</v>
      </c>
      <c r="H313" t="s">
        <v>15</v>
      </c>
      <c r="I313" t="s">
        <v>23</v>
      </c>
      <c r="J313" t="s">
        <v>878</v>
      </c>
      <c r="K313" t="s">
        <v>1880</v>
      </c>
      <c r="L313" t="s">
        <v>1889</v>
      </c>
      <c r="M313" t="s">
        <v>25</v>
      </c>
      <c r="N313">
        <f>Main5[[#This Row],[Quantity]]*Main5[[#This Row],[Unit Price]]</f>
        <v>476.5</v>
      </c>
      <c r="O313">
        <f>Main5[[#This Row],[Unit Price]]-Main5[[#This Row],[Unit Price]]*0.2</f>
        <v>190.6</v>
      </c>
      <c r="P313">
        <f>Main5[[#This Row],[Total Price]]-Main5[[#This Row],[Cost Price]]</f>
        <v>285.89999999999998</v>
      </c>
      <c r="Q313" t="str">
        <f>TEXT(Main5[[#This Row],[Date]],"mmm")</f>
        <v>Oct</v>
      </c>
    </row>
    <row r="314" spans="1:17" x14ac:dyDescent="0.25">
      <c r="A314" t="s">
        <v>1502</v>
      </c>
      <c r="B314" t="s">
        <v>2619</v>
      </c>
      <c r="C314" t="s">
        <v>1503</v>
      </c>
      <c r="D314" t="s">
        <v>35</v>
      </c>
      <c r="E314" t="s">
        <v>1878</v>
      </c>
      <c r="F314" t="s">
        <v>2620</v>
      </c>
      <c r="G314" t="s">
        <v>1412</v>
      </c>
      <c r="H314" t="s">
        <v>52</v>
      </c>
      <c r="I314" t="s">
        <v>8</v>
      </c>
      <c r="J314" t="s">
        <v>1504</v>
      </c>
      <c r="K314" t="s">
        <v>1900</v>
      </c>
      <c r="L314" t="s">
        <v>1911</v>
      </c>
      <c r="M314" t="s">
        <v>25</v>
      </c>
      <c r="N314">
        <f>Main5[[#This Row],[Quantity]]*Main5[[#This Row],[Unit Price]]</f>
        <v>474.25</v>
      </c>
      <c r="O314">
        <f>Main5[[#This Row],[Unit Price]]-Main5[[#This Row],[Unit Price]]*0.2</f>
        <v>75.88</v>
      </c>
      <c r="P314">
        <f>Main5[[#This Row],[Total Price]]-Main5[[#This Row],[Cost Price]]</f>
        <v>398.37</v>
      </c>
      <c r="Q314" t="str">
        <f>TEXT(Main5[[#This Row],[Date]],"mmm")</f>
        <v>Feb</v>
      </c>
    </row>
    <row r="315" spans="1:17" x14ac:dyDescent="0.25">
      <c r="A315" t="s">
        <v>85</v>
      </c>
      <c r="B315" t="s">
        <v>1920</v>
      </c>
      <c r="C315" t="s">
        <v>86</v>
      </c>
      <c r="D315" t="s">
        <v>35</v>
      </c>
      <c r="E315" t="s">
        <v>1891</v>
      </c>
      <c r="F315" t="s">
        <v>1921</v>
      </c>
      <c r="G315" t="s">
        <v>87</v>
      </c>
      <c r="H315" t="s">
        <v>52</v>
      </c>
      <c r="I315" t="s">
        <v>37</v>
      </c>
      <c r="J315" t="s">
        <v>88</v>
      </c>
      <c r="K315" t="s">
        <v>1885</v>
      </c>
      <c r="L315" t="s">
        <v>1906</v>
      </c>
      <c r="M315" t="s">
        <v>63</v>
      </c>
      <c r="N315">
        <f>Main5[[#This Row],[Quantity]]*Main5[[#This Row],[Unit Price]]</f>
        <v>473.96</v>
      </c>
      <c r="O315">
        <f>Main5[[#This Row],[Unit Price]]-Main5[[#This Row],[Unit Price]]*0.2</f>
        <v>379.16800000000001</v>
      </c>
      <c r="P315">
        <f>Main5[[#This Row],[Total Price]]-Main5[[#This Row],[Cost Price]]</f>
        <v>94.791999999999973</v>
      </c>
      <c r="Q315" t="str">
        <f>TEXT(Main5[[#This Row],[Date]],"mmm")</f>
        <v>Jul</v>
      </c>
    </row>
    <row r="316" spans="1:17" x14ac:dyDescent="0.25">
      <c r="A316" t="s">
        <v>133</v>
      </c>
      <c r="B316" t="s">
        <v>1944</v>
      </c>
      <c r="C316" t="s">
        <v>134</v>
      </c>
      <c r="D316" t="s">
        <v>35</v>
      </c>
      <c r="E316" t="s">
        <v>1891</v>
      </c>
      <c r="F316" t="s">
        <v>1945</v>
      </c>
      <c r="G316" t="s">
        <v>135</v>
      </c>
      <c r="H316" t="s">
        <v>15</v>
      </c>
      <c r="I316" t="s">
        <v>8</v>
      </c>
      <c r="J316" t="s">
        <v>136</v>
      </c>
      <c r="K316" t="s">
        <v>1900</v>
      </c>
      <c r="L316" t="s">
        <v>1911</v>
      </c>
      <c r="M316" t="s">
        <v>63</v>
      </c>
      <c r="N316">
        <f>Main5[[#This Row],[Quantity]]*Main5[[#This Row],[Unit Price]]</f>
        <v>472.74</v>
      </c>
      <c r="O316">
        <f>Main5[[#This Row],[Unit Price]]-Main5[[#This Row],[Unit Price]]*0.2</f>
        <v>378.19200000000001</v>
      </c>
      <c r="P316">
        <f>Main5[[#This Row],[Total Price]]-Main5[[#This Row],[Cost Price]]</f>
        <v>94.548000000000002</v>
      </c>
      <c r="Q316" t="str">
        <f>TEXT(Main5[[#This Row],[Date]],"mmm")</f>
        <v>Feb</v>
      </c>
    </row>
    <row r="317" spans="1:17" x14ac:dyDescent="0.25">
      <c r="A317" t="s">
        <v>1023</v>
      </c>
      <c r="B317" t="s">
        <v>2384</v>
      </c>
      <c r="C317" t="s">
        <v>1024</v>
      </c>
      <c r="D317" t="s">
        <v>35</v>
      </c>
      <c r="E317" t="s">
        <v>1883</v>
      </c>
      <c r="F317" t="s">
        <v>2385</v>
      </c>
      <c r="G317" t="s">
        <v>1025</v>
      </c>
      <c r="H317" t="s">
        <v>15</v>
      </c>
      <c r="I317" t="s">
        <v>75</v>
      </c>
      <c r="J317" t="s">
        <v>1026</v>
      </c>
      <c r="K317" t="s">
        <v>1885</v>
      </c>
      <c r="L317" t="s">
        <v>1881</v>
      </c>
      <c r="M317" t="s">
        <v>10</v>
      </c>
      <c r="N317">
        <f>Main5[[#This Row],[Quantity]]*Main5[[#This Row],[Unit Price]]</f>
        <v>472.66</v>
      </c>
      <c r="O317">
        <f>Main5[[#This Row],[Unit Price]]-Main5[[#This Row],[Unit Price]]*0.2</f>
        <v>189.06400000000002</v>
      </c>
      <c r="P317">
        <f>Main5[[#This Row],[Total Price]]-Main5[[#This Row],[Cost Price]]</f>
        <v>283.596</v>
      </c>
      <c r="Q317" t="str">
        <f>TEXT(Main5[[#This Row],[Date]],"mmm")</f>
        <v>Apr</v>
      </c>
    </row>
    <row r="318" spans="1:17" x14ac:dyDescent="0.25">
      <c r="A318" t="s">
        <v>370</v>
      </c>
      <c r="B318" t="s">
        <v>2063</v>
      </c>
      <c r="C318" t="s">
        <v>371</v>
      </c>
      <c r="D318" t="s">
        <v>35</v>
      </c>
      <c r="E318" t="s">
        <v>1894</v>
      </c>
      <c r="F318" t="s">
        <v>2064</v>
      </c>
      <c r="G318" t="s">
        <v>372</v>
      </c>
      <c r="H318" t="s">
        <v>7</v>
      </c>
      <c r="I318" t="s">
        <v>30</v>
      </c>
      <c r="J318" t="s">
        <v>373</v>
      </c>
      <c r="K318" t="s">
        <v>1880</v>
      </c>
      <c r="L318" t="s">
        <v>1906</v>
      </c>
      <c r="M318" t="s">
        <v>17</v>
      </c>
      <c r="N318">
        <f>Main5[[#This Row],[Quantity]]*Main5[[#This Row],[Unit Price]]</f>
        <v>470.04</v>
      </c>
      <c r="O318">
        <f>Main5[[#This Row],[Unit Price]]-Main5[[#This Row],[Unit Price]]*0.2</f>
        <v>94.00800000000001</v>
      </c>
      <c r="P318">
        <f>Main5[[#This Row],[Total Price]]-Main5[[#This Row],[Cost Price]]</f>
        <v>376.03200000000004</v>
      </c>
      <c r="Q318" t="str">
        <f>TEXT(Main5[[#This Row],[Date]],"mmm")</f>
        <v>Mar</v>
      </c>
    </row>
    <row r="319" spans="1:17" x14ac:dyDescent="0.25">
      <c r="A319" t="s">
        <v>1715</v>
      </c>
      <c r="B319" t="s">
        <v>2729</v>
      </c>
      <c r="C319" t="s">
        <v>1716</v>
      </c>
      <c r="D319" t="s">
        <v>28</v>
      </c>
      <c r="E319" t="s">
        <v>1885</v>
      </c>
      <c r="F319" t="s">
        <v>2730</v>
      </c>
      <c r="G319" t="s">
        <v>1717</v>
      </c>
      <c r="H319" t="s">
        <v>7</v>
      </c>
      <c r="I319" t="s">
        <v>75</v>
      </c>
      <c r="J319" t="s">
        <v>1718</v>
      </c>
      <c r="K319" t="s">
        <v>1900</v>
      </c>
      <c r="L319" t="s">
        <v>1911</v>
      </c>
      <c r="M319" t="s">
        <v>32</v>
      </c>
      <c r="N319">
        <f>Main5[[#This Row],[Quantity]]*Main5[[#This Row],[Unit Price]]</f>
        <v>463.91999999999996</v>
      </c>
      <c r="O319">
        <f>Main5[[#This Row],[Unit Price]]-Main5[[#This Row],[Unit Price]]*0.2</f>
        <v>123.71199999999999</v>
      </c>
      <c r="P319">
        <f>Main5[[#This Row],[Total Price]]-Main5[[#This Row],[Cost Price]]</f>
        <v>340.20799999999997</v>
      </c>
      <c r="Q319" t="str">
        <f>TEXT(Main5[[#This Row],[Date]],"mmm")</f>
        <v>Nov</v>
      </c>
    </row>
    <row r="320" spans="1:17" x14ac:dyDescent="0.25">
      <c r="A320" t="s">
        <v>1631</v>
      </c>
      <c r="B320" t="s">
        <v>2685</v>
      </c>
      <c r="C320" t="s">
        <v>1632</v>
      </c>
      <c r="D320" t="s">
        <v>45</v>
      </c>
      <c r="E320" t="s">
        <v>1894</v>
      </c>
      <c r="F320" t="s">
        <v>2686</v>
      </c>
      <c r="G320" t="s">
        <v>1633</v>
      </c>
      <c r="H320" t="s">
        <v>15</v>
      </c>
      <c r="I320" t="s">
        <v>75</v>
      </c>
      <c r="J320" t="s">
        <v>1634</v>
      </c>
      <c r="K320" t="s">
        <v>1880</v>
      </c>
      <c r="L320" t="s">
        <v>1881</v>
      </c>
      <c r="M320" t="s">
        <v>10</v>
      </c>
      <c r="N320">
        <f>Main5[[#This Row],[Quantity]]*Main5[[#This Row],[Unit Price]]</f>
        <v>463.08</v>
      </c>
      <c r="O320">
        <f>Main5[[#This Row],[Unit Price]]-Main5[[#This Row],[Unit Price]]*0.2</f>
        <v>92.616</v>
      </c>
      <c r="P320">
        <f>Main5[[#This Row],[Total Price]]-Main5[[#This Row],[Cost Price]]</f>
        <v>370.464</v>
      </c>
      <c r="Q320" t="str">
        <f>TEXT(Main5[[#This Row],[Date]],"mmm")</f>
        <v>Nov</v>
      </c>
    </row>
    <row r="321" spans="1:17" x14ac:dyDescent="0.25">
      <c r="A321" t="s">
        <v>121</v>
      </c>
      <c r="B321" t="s">
        <v>1938</v>
      </c>
      <c r="C321" t="s">
        <v>122</v>
      </c>
      <c r="D321" t="s">
        <v>45</v>
      </c>
      <c r="E321" t="s">
        <v>1883</v>
      </c>
      <c r="F321" t="s">
        <v>1939</v>
      </c>
      <c r="G321" t="s">
        <v>123</v>
      </c>
      <c r="H321" t="s">
        <v>15</v>
      </c>
      <c r="I321" t="s">
        <v>37</v>
      </c>
      <c r="J321" t="s">
        <v>124</v>
      </c>
      <c r="K321" t="s">
        <v>1885</v>
      </c>
      <c r="L321" t="s">
        <v>1911</v>
      </c>
      <c r="M321" t="s">
        <v>17</v>
      </c>
      <c r="N321">
        <f>Main5[[#This Row],[Quantity]]*Main5[[#This Row],[Unit Price]]</f>
        <v>461.9</v>
      </c>
      <c r="O321">
        <f>Main5[[#This Row],[Unit Price]]-Main5[[#This Row],[Unit Price]]*0.2</f>
        <v>184.76</v>
      </c>
      <c r="P321">
        <f>Main5[[#This Row],[Total Price]]-Main5[[#This Row],[Cost Price]]</f>
        <v>277.14</v>
      </c>
      <c r="Q321" t="str">
        <f>TEXT(Main5[[#This Row],[Date]],"mmm")</f>
        <v>Oct</v>
      </c>
    </row>
    <row r="322" spans="1:17" x14ac:dyDescent="0.25">
      <c r="A322" t="s">
        <v>975</v>
      </c>
      <c r="B322" t="s">
        <v>2360</v>
      </c>
      <c r="C322" t="s">
        <v>976</v>
      </c>
      <c r="D322" t="s">
        <v>20</v>
      </c>
      <c r="E322" t="s">
        <v>1878</v>
      </c>
      <c r="F322" t="s">
        <v>2361</v>
      </c>
      <c r="G322" t="s">
        <v>977</v>
      </c>
      <c r="H322" t="s">
        <v>15</v>
      </c>
      <c r="I322" t="s">
        <v>23</v>
      </c>
      <c r="J322" t="s">
        <v>978</v>
      </c>
      <c r="K322" t="s">
        <v>1903</v>
      </c>
      <c r="L322" t="s">
        <v>1889</v>
      </c>
      <c r="M322" t="s">
        <v>25</v>
      </c>
      <c r="N322">
        <f>Main5[[#This Row],[Quantity]]*Main5[[#This Row],[Unit Price]]</f>
        <v>458.35</v>
      </c>
      <c r="O322">
        <f>Main5[[#This Row],[Unit Price]]-Main5[[#This Row],[Unit Price]]*0.2</f>
        <v>73.335999999999999</v>
      </c>
      <c r="P322">
        <f>Main5[[#This Row],[Total Price]]-Main5[[#This Row],[Cost Price]]</f>
        <v>385.01400000000001</v>
      </c>
      <c r="Q322" t="str">
        <f>TEXT(Main5[[#This Row],[Date]],"mmm")</f>
        <v>May</v>
      </c>
    </row>
    <row r="323" spans="1:17" x14ac:dyDescent="0.25">
      <c r="A323" t="s">
        <v>289</v>
      </c>
      <c r="B323" t="s">
        <v>2023</v>
      </c>
      <c r="C323" t="s">
        <v>290</v>
      </c>
      <c r="D323" t="s">
        <v>13</v>
      </c>
      <c r="E323" t="s">
        <v>1878</v>
      </c>
      <c r="F323" t="s">
        <v>2024</v>
      </c>
      <c r="G323" t="s">
        <v>291</v>
      </c>
      <c r="H323" t="s">
        <v>52</v>
      </c>
      <c r="I323" t="s">
        <v>75</v>
      </c>
      <c r="J323" t="s">
        <v>292</v>
      </c>
      <c r="K323" t="s">
        <v>1878</v>
      </c>
      <c r="L323" t="s">
        <v>1906</v>
      </c>
      <c r="M323" t="s">
        <v>10</v>
      </c>
      <c r="N323">
        <f>Main5[[#This Row],[Quantity]]*Main5[[#This Row],[Unit Price]]</f>
        <v>454.35</v>
      </c>
      <c r="O323">
        <f>Main5[[#This Row],[Unit Price]]-Main5[[#This Row],[Unit Price]]*0.2</f>
        <v>72.695999999999998</v>
      </c>
      <c r="P323">
        <f>Main5[[#This Row],[Total Price]]-Main5[[#This Row],[Cost Price]]</f>
        <v>381.654</v>
      </c>
      <c r="Q323" t="str">
        <f>TEXT(Main5[[#This Row],[Date]],"mmm")</f>
        <v>Jun</v>
      </c>
    </row>
    <row r="324" spans="1:17" x14ac:dyDescent="0.25">
      <c r="A324" t="s">
        <v>1187</v>
      </c>
      <c r="B324" t="s">
        <v>2463</v>
      </c>
      <c r="C324" t="s">
        <v>1188</v>
      </c>
      <c r="D324" t="s">
        <v>13</v>
      </c>
      <c r="E324" t="s">
        <v>1891</v>
      </c>
      <c r="F324" t="s">
        <v>2464</v>
      </c>
      <c r="G324" t="s">
        <v>1189</v>
      </c>
      <c r="H324" t="s">
        <v>7</v>
      </c>
      <c r="I324" t="s">
        <v>8</v>
      </c>
      <c r="J324" t="s">
        <v>1190</v>
      </c>
      <c r="K324" t="s">
        <v>1878</v>
      </c>
      <c r="L324" t="s">
        <v>1889</v>
      </c>
      <c r="M324" t="s">
        <v>10</v>
      </c>
      <c r="N324">
        <f>Main5[[#This Row],[Quantity]]*Main5[[#This Row],[Unit Price]]</f>
        <v>452.7</v>
      </c>
      <c r="O324">
        <f>Main5[[#This Row],[Unit Price]]-Main5[[#This Row],[Unit Price]]*0.2</f>
        <v>362.15999999999997</v>
      </c>
      <c r="P324">
        <f>Main5[[#This Row],[Total Price]]-Main5[[#This Row],[Cost Price]]</f>
        <v>90.54000000000002</v>
      </c>
      <c r="Q324" t="str">
        <f>TEXT(Main5[[#This Row],[Date]],"mmm")</f>
        <v>Nov</v>
      </c>
    </row>
    <row r="325" spans="1:17" x14ac:dyDescent="0.25">
      <c r="A325" t="s">
        <v>1848</v>
      </c>
      <c r="B325" t="s">
        <v>2801</v>
      </c>
      <c r="C325" t="s">
        <v>1849</v>
      </c>
      <c r="D325" t="s">
        <v>13</v>
      </c>
      <c r="E325" t="s">
        <v>1883</v>
      </c>
      <c r="F325" t="s">
        <v>2802</v>
      </c>
      <c r="G325" t="s">
        <v>1850</v>
      </c>
      <c r="H325" t="s">
        <v>7</v>
      </c>
      <c r="I325" t="s">
        <v>37</v>
      </c>
      <c r="J325" t="s">
        <v>1851</v>
      </c>
      <c r="K325" t="s">
        <v>1885</v>
      </c>
      <c r="L325" t="s">
        <v>1911</v>
      </c>
      <c r="M325" t="s">
        <v>17</v>
      </c>
      <c r="N325">
        <f>Main5[[#This Row],[Quantity]]*Main5[[#This Row],[Unit Price]]</f>
        <v>448.74</v>
      </c>
      <c r="O325">
        <f>Main5[[#This Row],[Unit Price]]-Main5[[#This Row],[Unit Price]]*0.2</f>
        <v>179.49600000000001</v>
      </c>
      <c r="P325">
        <f>Main5[[#This Row],[Total Price]]-Main5[[#This Row],[Cost Price]]</f>
        <v>269.24400000000003</v>
      </c>
      <c r="Q325" t="str">
        <f>TEXT(Main5[[#This Row],[Date]],"mmm")</f>
        <v>Mar</v>
      </c>
    </row>
    <row r="326" spans="1:17" x14ac:dyDescent="0.25">
      <c r="A326" t="s">
        <v>1582</v>
      </c>
      <c r="B326" t="s">
        <v>2661</v>
      </c>
      <c r="C326" t="s">
        <v>1583</v>
      </c>
      <c r="D326" t="s">
        <v>35</v>
      </c>
      <c r="E326" t="s">
        <v>1894</v>
      </c>
      <c r="F326" t="s">
        <v>2662</v>
      </c>
      <c r="G326" t="s">
        <v>1584</v>
      </c>
      <c r="H326" t="s">
        <v>7</v>
      </c>
      <c r="I326" t="s">
        <v>75</v>
      </c>
      <c r="J326" t="s">
        <v>1585</v>
      </c>
      <c r="K326" t="s">
        <v>1880</v>
      </c>
      <c r="L326" t="s">
        <v>1889</v>
      </c>
      <c r="M326" t="s">
        <v>25</v>
      </c>
      <c r="N326">
        <f>Main5[[#This Row],[Quantity]]*Main5[[#This Row],[Unit Price]]</f>
        <v>445.2</v>
      </c>
      <c r="O326">
        <f>Main5[[#This Row],[Unit Price]]-Main5[[#This Row],[Unit Price]]*0.2</f>
        <v>89.039999999999992</v>
      </c>
      <c r="P326">
        <f>Main5[[#This Row],[Total Price]]-Main5[[#This Row],[Cost Price]]</f>
        <v>356.15999999999997</v>
      </c>
      <c r="Q326" t="str">
        <f>TEXT(Main5[[#This Row],[Date]],"mmm")</f>
        <v>Mar</v>
      </c>
    </row>
    <row r="327" spans="1:17" x14ac:dyDescent="0.25">
      <c r="A327" t="s">
        <v>699</v>
      </c>
      <c r="B327" t="s">
        <v>2225</v>
      </c>
      <c r="C327" t="s">
        <v>700</v>
      </c>
      <c r="D327" t="s">
        <v>60</v>
      </c>
      <c r="E327" t="s">
        <v>1885</v>
      </c>
      <c r="F327" t="s">
        <v>2226</v>
      </c>
      <c r="G327" t="s">
        <v>701</v>
      </c>
      <c r="H327" t="s">
        <v>7</v>
      </c>
      <c r="I327" t="s">
        <v>30</v>
      </c>
      <c r="J327" t="s">
        <v>702</v>
      </c>
      <c r="K327" t="s">
        <v>1885</v>
      </c>
      <c r="L327" t="s">
        <v>1906</v>
      </c>
      <c r="M327" t="s">
        <v>25</v>
      </c>
      <c r="N327">
        <f>Main5[[#This Row],[Quantity]]*Main5[[#This Row],[Unit Price]]</f>
        <v>442.16999999999996</v>
      </c>
      <c r="O327">
        <f>Main5[[#This Row],[Unit Price]]-Main5[[#This Row],[Unit Price]]*0.2</f>
        <v>117.91199999999999</v>
      </c>
      <c r="P327">
        <f>Main5[[#This Row],[Total Price]]-Main5[[#This Row],[Cost Price]]</f>
        <v>324.25799999999998</v>
      </c>
      <c r="Q327" t="str">
        <f>TEXT(Main5[[#This Row],[Date]],"mmm")</f>
        <v>Mar</v>
      </c>
    </row>
    <row r="328" spans="1:17" x14ac:dyDescent="0.25">
      <c r="A328" t="s">
        <v>330</v>
      </c>
      <c r="B328" t="s">
        <v>2043</v>
      </c>
      <c r="C328" t="s">
        <v>331</v>
      </c>
      <c r="D328" t="s">
        <v>20</v>
      </c>
      <c r="E328" t="s">
        <v>1885</v>
      </c>
      <c r="F328" t="s">
        <v>2044</v>
      </c>
      <c r="G328" t="s">
        <v>332</v>
      </c>
      <c r="H328" t="s">
        <v>52</v>
      </c>
      <c r="I328" t="s">
        <v>37</v>
      </c>
      <c r="J328" t="s">
        <v>333</v>
      </c>
      <c r="K328" t="s">
        <v>1888</v>
      </c>
      <c r="L328" t="s">
        <v>1889</v>
      </c>
      <c r="M328" t="s">
        <v>25</v>
      </c>
      <c r="N328">
        <f>Main5[[#This Row],[Quantity]]*Main5[[#This Row],[Unit Price]]</f>
        <v>440.18999999999994</v>
      </c>
      <c r="O328">
        <f>Main5[[#This Row],[Unit Price]]-Main5[[#This Row],[Unit Price]]*0.2</f>
        <v>117.38399999999999</v>
      </c>
      <c r="P328">
        <f>Main5[[#This Row],[Total Price]]-Main5[[#This Row],[Cost Price]]</f>
        <v>322.80599999999993</v>
      </c>
      <c r="Q328" t="str">
        <f>TEXT(Main5[[#This Row],[Date]],"mmm")</f>
        <v>Sep</v>
      </c>
    </row>
    <row r="329" spans="1:17" x14ac:dyDescent="0.25">
      <c r="A329" t="s">
        <v>797</v>
      </c>
      <c r="B329" t="s">
        <v>2274</v>
      </c>
      <c r="C329" t="s">
        <v>798</v>
      </c>
      <c r="D329" t="s">
        <v>35</v>
      </c>
      <c r="E329" t="s">
        <v>1883</v>
      </c>
      <c r="F329" t="s">
        <v>2275</v>
      </c>
      <c r="G329" t="s">
        <v>799</v>
      </c>
      <c r="H329" t="s">
        <v>15</v>
      </c>
      <c r="I329" t="s">
        <v>75</v>
      </c>
      <c r="J329" t="s">
        <v>800</v>
      </c>
      <c r="K329" t="s">
        <v>1894</v>
      </c>
      <c r="L329" t="s">
        <v>1881</v>
      </c>
      <c r="M329" t="s">
        <v>17</v>
      </c>
      <c r="N329">
        <f>Main5[[#This Row],[Quantity]]*Main5[[#This Row],[Unit Price]]</f>
        <v>438.2</v>
      </c>
      <c r="O329">
        <f>Main5[[#This Row],[Unit Price]]-Main5[[#This Row],[Unit Price]]*0.2</f>
        <v>175.28</v>
      </c>
      <c r="P329">
        <f>Main5[[#This Row],[Total Price]]-Main5[[#This Row],[Cost Price]]</f>
        <v>262.91999999999996</v>
      </c>
      <c r="Q329" t="str">
        <f>TEXT(Main5[[#This Row],[Date]],"mmm")</f>
        <v>May</v>
      </c>
    </row>
    <row r="330" spans="1:17" x14ac:dyDescent="0.25">
      <c r="A330" t="s">
        <v>854</v>
      </c>
      <c r="B330" t="s">
        <v>2302</v>
      </c>
      <c r="C330" t="s">
        <v>855</v>
      </c>
      <c r="D330" t="s">
        <v>20</v>
      </c>
      <c r="E330" t="s">
        <v>1891</v>
      </c>
      <c r="F330" t="s">
        <v>2303</v>
      </c>
      <c r="G330" t="s">
        <v>856</v>
      </c>
      <c r="H330" t="s">
        <v>52</v>
      </c>
      <c r="I330" t="s">
        <v>30</v>
      </c>
      <c r="J330" t="s">
        <v>857</v>
      </c>
      <c r="K330" t="s">
        <v>1878</v>
      </c>
      <c r="L330" t="s">
        <v>1889</v>
      </c>
      <c r="M330" t="s">
        <v>63</v>
      </c>
      <c r="N330">
        <f>Main5[[#This Row],[Quantity]]*Main5[[#This Row],[Unit Price]]</f>
        <v>436.77</v>
      </c>
      <c r="O330">
        <f>Main5[[#This Row],[Unit Price]]-Main5[[#This Row],[Unit Price]]*0.2</f>
        <v>349.416</v>
      </c>
      <c r="P330">
        <f>Main5[[#This Row],[Total Price]]-Main5[[#This Row],[Cost Price]]</f>
        <v>87.353999999999985</v>
      </c>
      <c r="Q330" t="str">
        <f>TEXT(Main5[[#This Row],[Date]],"mmm")</f>
        <v>Aug</v>
      </c>
    </row>
    <row r="331" spans="1:17" x14ac:dyDescent="0.25">
      <c r="A331" t="s">
        <v>97</v>
      </c>
      <c r="B331" t="s">
        <v>1926</v>
      </c>
      <c r="C331" t="s">
        <v>98</v>
      </c>
      <c r="D331" t="s">
        <v>60</v>
      </c>
      <c r="E331" t="s">
        <v>1891</v>
      </c>
      <c r="F331" t="s">
        <v>1927</v>
      </c>
      <c r="G331" t="s">
        <v>99</v>
      </c>
      <c r="H331" t="s">
        <v>47</v>
      </c>
      <c r="I331" t="s">
        <v>75</v>
      </c>
      <c r="J331" t="s">
        <v>100</v>
      </c>
      <c r="K331" t="s">
        <v>1885</v>
      </c>
      <c r="L331" t="s">
        <v>1881</v>
      </c>
      <c r="M331" t="s">
        <v>32</v>
      </c>
      <c r="N331">
        <f>Main5[[#This Row],[Quantity]]*Main5[[#This Row],[Unit Price]]</f>
        <v>431.44</v>
      </c>
      <c r="O331">
        <f>Main5[[#This Row],[Unit Price]]-Main5[[#This Row],[Unit Price]]*0.2</f>
        <v>345.15199999999999</v>
      </c>
      <c r="P331">
        <f>Main5[[#This Row],[Total Price]]-Main5[[#This Row],[Cost Price]]</f>
        <v>86.288000000000011</v>
      </c>
      <c r="Q331" t="str">
        <f>TEXT(Main5[[#This Row],[Date]],"mmm")</f>
        <v>Mar</v>
      </c>
    </row>
    <row r="332" spans="1:17" x14ac:dyDescent="0.25">
      <c r="A332" t="s">
        <v>1765</v>
      </c>
      <c r="B332" t="s">
        <v>2755</v>
      </c>
      <c r="C332" t="s">
        <v>1766</v>
      </c>
      <c r="D332" t="s">
        <v>35</v>
      </c>
      <c r="E332" t="s">
        <v>1894</v>
      </c>
      <c r="F332" t="s">
        <v>2756</v>
      </c>
      <c r="G332" t="s">
        <v>1525</v>
      </c>
      <c r="H332" t="s">
        <v>52</v>
      </c>
      <c r="I332" t="s">
        <v>37</v>
      </c>
      <c r="J332" t="s">
        <v>1767</v>
      </c>
      <c r="K332" t="s">
        <v>1878</v>
      </c>
      <c r="L332" t="s">
        <v>1906</v>
      </c>
      <c r="M332" t="s">
        <v>63</v>
      </c>
      <c r="N332">
        <f>Main5[[#This Row],[Quantity]]*Main5[[#This Row],[Unit Price]]</f>
        <v>429.96</v>
      </c>
      <c r="O332">
        <f>Main5[[#This Row],[Unit Price]]-Main5[[#This Row],[Unit Price]]*0.2</f>
        <v>85.99199999999999</v>
      </c>
      <c r="P332">
        <f>Main5[[#This Row],[Total Price]]-Main5[[#This Row],[Cost Price]]</f>
        <v>343.96799999999996</v>
      </c>
      <c r="Q332" t="str">
        <f>TEXT(Main5[[#This Row],[Date]],"mmm")</f>
        <v>Jun</v>
      </c>
    </row>
    <row r="333" spans="1:17" x14ac:dyDescent="0.25">
      <c r="A333" t="s">
        <v>597</v>
      </c>
      <c r="B333" t="s">
        <v>2175</v>
      </c>
      <c r="C333" t="s">
        <v>598</v>
      </c>
      <c r="D333" t="s">
        <v>35</v>
      </c>
      <c r="E333" t="s">
        <v>1891</v>
      </c>
      <c r="F333" t="s">
        <v>2176</v>
      </c>
      <c r="G333" t="s">
        <v>599</v>
      </c>
      <c r="H333" t="s">
        <v>15</v>
      </c>
      <c r="I333" t="s">
        <v>37</v>
      </c>
      <c r="J333" t="s">
        <v>600</v>
      </c>
      <c r="K333" t="s">
        <v>1883</v>
      </c>
      <c r="L333" t="s">
        <v>1911</v>
      </c>
      <c r="M333" t="s">
        <v>25</v>
      </c>
      <c r="N333">
        <f>Main5[[#This Row],[Quantity]]*Main5[[#This Row],[Unit Price]]</f>
        <v>427.82</v>
      </c>
      <c r="O333">
        <f>Main5[[#This Row],[Unit Price]]-Main5[[#This Row],[Unit Price]]*0.2</f>
        <v>342.25599999999997</v>
      </c>
      <c r="P333">
        <f>Main5[[#This Row],[Total Price]]-Main5[[#This Row],[Cost Price]]</f>
        <v>85.564000000000021</v>
      </c>
      <c r="Q333" t="str">
        <f>TEXT(Main5[[#This Row],[Date]],"mmm")</f>
        <v>Apr</v>
      </c>
    </row>
    <row r="334" spans="1:17" x14ac:dyDescent="0.25">
      <c r="A334" t="s">
        <v>1129</v>
      </c>
      <c r="B334" t="s">
        <v>2434</v>
      </c>
      <c r="C334" t="s">
        <v>1130</v>
      </c>
      <c r="D334" t="s">
        <v>5</v>
      </c>
      <c r="E334" t="s">
        <v>1891</v>
      </c>
      <c r="F334" t="s">
        <v>2435</v>
      </c>
      <c r="G334" t="s">
        <v>1131</v>
      </c>
      <c r="H334" t="s">
        <v>15</v>
      </c>
      <c r="I334" t="s">
        <v>23</v>
      </c>
      <c r="J334" t="s">
        <v>1132</v>
      </c>
      <c r="K334" t="s">
        <v>1891</v>
      </c>
      <c r="L334" t="s">
        <v>1911</v>
      </c>
      <c r="M334" t="s">
        <v>17</v>
      </c>
      <c r="N334">
        <f>Main5[[#This Row],[Quantity]]*Main5[[#This Row],[Unit Price]]</f>
        <v>427.06</v>
      </c>
      <c r="O334">
        <f>Main5[[#This Row],[Unit Price]]-Main5[[#This Row],[Unit Price]]*0.2</f>
        <v>341.64800000000002</v>
      </c>
      <c r="P334">
        <f>Main5[[#This Row],[Total Price]]-Main5[[#This Row],[Cost Price]]</f>
        <v>85.411999999999978</v>
      </c>
      <c r="Q334" t="str">
        <f>TEXT(Main5[[#This Row],[Date]],"mmm")</f>
        <v>Sep</v>
      </c>
    </row>
    <row r="335" spans="1:17" x14ac:dyDescent="0.25">
      <c r="A335" t="s">
        <v>1454</v>
      </c>
      <c r="B335" t="s">
        <v>2595</v>
      </c>
      <c r="C335" t="s">
        <v>1455</v>
      </c>
      <c r="D335" t="s">
        <v>28</v>
      </c>
      <c r="E335" t="s">
        <v>1878</v>
      </c>
      <c r="F335" t="s">
        <v>2596</v>
      </c>
      <c r="G335" t="s">
        <v>1456</v>
      </c>
      <c r="H335" t="s">
        <v>22</v>
      </c>
      <c r="I335" t="s">
        <v>23</v>
      </c>
      <c r="J335" t="s">
        <v>1457</v>
      </c>
      <c r="K335" t="s">
        <v>1880</v>
      </c>
      <c r="L335" t="s">
        <v>1889</v>
      </c>
      <c r="M335" t="s">
        <v>25</v>
      </c>
      <c r="N335">
        <f>Main5[[#This Row],[Quantity]]*Main5[[#This Row],[Unit Price]]</f>
        <v>426.1</v>
      </c>
      <c r="O335">
        <f>Main5[[#This Row],[Unit Price]]-Main5[[#This Row],[Unit Price]]*0.2</f>
        <v>68.176000000000002</v>
      </c>
      <c r="P335">
        <f>Main5[[#This Row],[Total Price]]-Main5[[#This Row],[Cost Price]]</f>
        <v>357.92400000000004</v>
      </c>
      <c r="Q335" t="str">
        <f>TEXT(Main5[[#This Row],[Date]],"mmm")</f>
        <v>Apr</v>
      </c>
    </row>
    <row r="336" spans="1:17" x14ac:dyDescent="0.25">
      <c r="A336" t="s">
        <v>1403</v>
      </c>
      <c r="B336" t="s">
        <v>2571</v>
      </c>
      <c r="C336" t="s">
        <v>1404</v>
      </c>
      <c r="D336" t="s">
        <v>60</v>
      </c>
      <c r="E336" t="s">
        <v>1883</v>
      </c>
      <c r="F336" t="s">
        <v>2572</v>
      </c>
      <c r="G336" t="s">
        <v>1405</v>
      </c>
      <c r="H336" t="s">
        <v>47</v>
      </c>
      <c r="I336" t="s">
        <v>23</v>
      </c>
      <c r="J336" t="s">
        <v>1406</v>
      </c>
      <c r="K336" t="s">
        <v>1894</v>
      </c>
      <c r="L336" t="s">
        <v>1911</v>
      </c>
      <c r="M336" t="s">
        <v>25</v>
      </c>
      <c r="N336">
        <f>Main5[[#This Row],[Quantity]]*Main5[[#This Row],[Unit Price]]</f>
        <v>423.64</v>
      </c>
      <c r="O336">
        <f>Main5[[#This Row],[Unit Price]]-Main5[[#This Row],[Unit Price]]*0.2</f>
        <v>169.45599999999999</v>
      </c>
      <c r="P336">
        <f>Main5[[#This Row],[Total Price]]-Main5[[#This Row],[Cost Price]]</f>
        <v>254.184</v>
      </c>
      <c r="Q336" t="str">
        <f>TEXT(Main5[[#This Row],[Date]],"mmm")</f>
        <v>Nov</v>
      </c>
    </row>
    <row r="337" spans="1:17" x14ac:dyDescent="0.25">
      <c r="A337" t="s">
        <v>93</v>
      </c>
      <c r="B337" t="s">
        <v>1924</v>
      </c>
      <c r="C337" t="s">
        <v>94</v>
      </c>
      <c r="D337" t="s">
        <v>20</v>
      </c>
      <c r="E337" t="s">
        <v>1891</v>
      </c>
      <c r="F337" t="s">
        <v>1925</v>
      </c>
      <c r="G337" t="s">
        <v>95</v>
      </c>
      <c r="H337" t="s">
        <v>7</v>
      </c>
      <c r="I337" t="s">
        <v>8</v>
      </c>
      <c r="J337" t="s">
        <v>96</v>
      </c>
      <c r="K337" t="s">
        <v>1885</v>
      </c>
      <c r="L337" t="s">
        <v>1906</v>
      </c>
      <c r="M337" t="s">
        <v>17</v>
      </c>
      <c r="N337">
        <f>Main5[[#This Row],[Quantity]]*Main5[[#This Row],[Unit Price]]</f>
        <v>423.4</v>
      </c>
      <c r="O337">
        <f>Main5[[#This Row],[Unit Price]]-Main5[[#This Row],[Unit Price]]*0.2</f>
        <v>338.71999999999997</v>
      </c>
      <c r="P337">
        <f>Main5[[#This Row],[Total Price]]-Main5[[#This Row],[Cost Price]]</f>
        <v>84.68</v>
      </c>
      <c r="Q337" t="str">
        <f>TEXT(Main5[[#This Row],[Date]],"mmm")</f>
        <v>Mar</v>
      </c>
    </row>
    <row r="338" spans="1:17" x14ac:dyDescent="0.25">
      <c r="A338" t="s">
        <v>1158</v>
      </c>
      <c r="B338" t="s">
        <v>2449</v>
      </c>
      <c r="C338" t="s">
        <v>1159</v>
      </c>
      <c r="D338" t="s">
        <v>60</v>
      </c>
      <c r="E338" t="s">
        <v>1878</v>
      </c>
      <c r="F338" t="s">
        <v>2450</v>
      </c>
      <c r="G338" t="s">
        <v>1160</v>
      </c>
      <c r="H338" t="s">
        <v>15</v>
      </c>
      <c r="I338" t="s">
        <v>37</v>
      </c>
      <c r="J338" t="s">
        <v>1161</v>
      </c>
      <c r="K338" t="s">
        <v>1903</v>
      </c>
      <c r="L338" t="s">
        <v>1881</v>
      </c>
      <c r="M338" t="s">
        <v>63</v>
      </c>
      <c r="N338">
        <f>Main5[[#This Row],[Quantity]]*Main5[[#This Row],[Unit Price]]</f>
        <v>420.65</v>
      </c>
      <c r="O338">
        <f>Main5[[#This Row],[Unit Price]]-Main5[[#This Row],[Unit Price]]*0.2</f>
        <v>67.304000000000002</v>
      </c>
      <c r="P338">
        <f>Main5[[#This Row],[Total Price]]-Main5[[#This Row],[Cost Price]]</f>
        <v>353.346</v>
      </c>
      <c r="Q338" t="str">
        <f>TEXT(Main5[[#This Row],[Date]],"mmm")</f>
        <v>Jun</v>
      </c>
    </row>
    <row r="339" spans="1:17" x14ac:dyDescent="0.25">
      <c r="A339" t="s">
        <v>1279</v>
      </c>
      <c r="B339" t="s">
        <v>2507</v>
      </c>
      <c r="C339" t="s">
        <v>1280</v>
      </c>
      <c r="D339" t="s">
        <v>13</v>
      </c>
      <c r="E339" t="s">
        <v>1891</v>
      </c>
      <c r="F339" t="s">
        <v>2508</v>
      </c>
      <c r="G339" t="s">
        <v>1281</v>
      </c>
      <c r="H339" t="s">
        <v>22</v>
      </c>
      <c r="I339" t="s">
        <v>75</v>
      </c>
      <c r="J339" t="s">
        <v>1282</v>
      </c>
      <c r="K339" t="s">
        <v>1894</v>
      </c>
      <c r="L339" t="s">
        <v>1889</v>
      </c>
      <c r="M339" t="s">
        <v>32</v>
      </c>
      <c r="N339">
        <f>Main5[[#This Row],[Quantity]]*Main5[[#This Row],[Unit Price]]</f>
        <v>420.26</v>
      </c>
      <c r="O339">
        <f>Main5[[#This Row],[Unit Price]]-Main5[[#This Row],[Unit Price]]*0.2</f>
        <v>336.20799999999997</v>
      </c>
      <c r="P339">
        <f>Main5[[#This Row],[Total Price]]-Main5[[#This Row],[Cost Price]]</f>
        <v>84.052000000000021</v>
      </c>
      <c r="Q339" t="str">
        <f>TEXT(Main5[[#This Row],[Date]],"mmm")</f>
        <v>Jan</v>
      </c>
    </row>
    <row r="340" spans="1:17" x14ac:dyDescent="0.25">
      <c r="A340" t="s">
        <v>197</v>
      </c>
      <c r="B340" t="s">
        <v>1977</v>
      </c>
      <c r="C340" t="s">
        <v>198</v>
      </c>
      <c r="D340" t="s">
        <v>60</v>
      </c>
      <c r="E340" t="s">
        <v>1883</v>
      </c>
      <c r="F340" t="s">
        <v>1978</v>
      </c>
      <c r="G340" t="s">
        <v>199</v>
      </c>
      <c r="H340" t="s">
        <v>22</v>
      </c>
      <c r="I340" t="s">
        <v>30</v>
      </c>
      <c r="J340" t="s">
        <v>200</v>
      </c>
      <c r="K340" t="s">
        <v>1885</v>
      </c>
      <c r="L340" t="s">
        <v>1889</v>
      </c>
      <c r="M340" t="s">
        <v>25</v>
      </c>
      <c r="N340">
        <f>Main5[[#This Row],[Quantity]]*Main5[[#This Row],[Unit Price]]</f>
        <v>419.88</v>
      </c>
      <c r="O340">
        <f>Main5[[#This Row],[Unit Price]]-Main5[[#This Row],[Unit Price]]*0.2</f>
        <v>167.952</v>
      </c>
      <c r="P340">
        <f>Main5[[#This Row],[Total Price]]-Main5[[#This Row],[Cost Price]]</f>
        <v>251.928</v>
      </c>
      <c r="Q340" t="str">
        <f>TEXT(Main5[[#This Row],[Date]],"mmm")</f>
        <v>Jul</v>
      </c>
    </row>
    <row r="341" spans="1:17" x14ac:dyDescent="0.25">
      <c r="A341" t="s">
        <v>1243</v>
      </c>
      <c r="B341" t="s">
        <v>2489</v>
      </c>
      <c r="C341" t="s">
        <v>1244</v>
      </c>
      <c r="D341" t="s">
        <v>13</v>
      </c>
      <c r="E341" t="s">
        <v>1891</v>
      </c>
      <c r="F341" t="s">
        <v>2490</v>
      </c>
      <c r="G341" t="s">
        <v>1245</v>
      </c>
      <c r="H341" t="s">
        <v>22</v>
      </c>
      <c r="I341" t="s">
        <v>37</v>
      </c>
      <c r="J341" t="s">
        <v>1246</v>
      </c>
      <c r="K341" t="s">
        <v>1878</v>
      </c>
      <c r="L341" t="s">
        <v>1889</v>
      </c>
      <c r="M341" t="s">
        <v>25</v>
      </c>
      <c r="N341">
        <f>Main5[[#This Row],[Quantity]]*Main5[[#This Row],[Unit Price]]</f>
        <v>418.36</v>
      </c>
      <c r="O341">
        <f>Main5[[#This Row],[Unit Price]]-Main5[[#This Row],[Unit Price]]*0.2</f>
        <v>334.68799999999999</v>
      </c>
      <c r="P341">
        <f>Main5[[#This Row],[Total Price]]-Main5[[#This Row],[Cost Price]]</f>
        <v>83.672000000000025</v>
      </c>
      <c r="Q341" t="str">
        <f>TEXT(Main5[[#This Row],[Date]],"mmm")</f>
        <v>Jun</v>
      </c>
    </row>
    <row r="342" spans="1:17" x14ac:dyDescent="0.25">
      <c r="A342" t="s">
        <v>241</v>
      </c>
      <c r="B342" t="s">
        <v>1999</v>
      </c>
      <c r="C342" t="s">
        <v>242</v>
      </c>
      <c r="D342" t="s">
        <v>60</v>
      </c>
      <c r="E342" t="s">
        <v>1891</v>
      </c>
      <c r="F342" t="s">
        <v>2000</v>
      </c>
      <c r="G342" t="s">
        <v>243</v>
      </c>
      <c r="H342" t="s">
        <v>7</v>
      </c>
      <c r="I342" t="s">
        <v>30</v>
      </c>
      <c r="J342" t="s">
        <v>244</v>
      </c>
      <c r="K342" t="s">
        <v>1885</v>
      </c>
      <c r="L342" t="s">
        <v>1889</v>
      </c>
      <c r="M342" t="s">
        <v>17</v>
      </c>
      <c r="N342">
        <f>Main5[[#This Row],[Quantity]]*Main5[[#This Row],[Unit Price]]</f>
        <v>417.1</v>
      </c>
      <c r="O342">
        <f>Main5[[#This Row],[Unit Price]]-Main5[[#This Row],[Unit Price]]*0.2</f>
        <v>333.68</v>
      </c>
      <c r="P342">
        <f>Main5[[#This Row],[Total Price]]-Main5[[#This Row],[Cost Price]]</f>
        <v>83.420000000000016</v>
      </c>
      <c r="Q342" t="str">
        <f>TEXT(Main5[[#This Row],[Date]],"mmm")</f>
        <v>Aug</v>
      </c>
    </row>
    <row r="343" spans="1:17" x14ac:dyDescent="0.25">
      <c r="A343" t="s">
        <v>1422</v>
      </c>
      <c r="B343" t="s">
        <v>2579</v>
      </c>
      <c r="C343" t="s">
        <v>1423</v>
      </c>
      <c r="D343" t="s">
        <v>20</v>
      </c>
      <c r="E343" t="s">
        <v>1891</v>
      </c>
      <c r="F343" t="s">
        <v>2580</v>
      </c>
      <c r="G343" t="s">
        <v>1424</v>
      </c>
      <c r="H343" t="s">
        <v>7</v>
      </c>
      <c r="I343" t="s">
        <v>30</v>
      </c>
      <c r="J343" t="s">
        <v>1425</v>
      </c>
      <c r="K343" t="s">
        <v>1878</v>
      </c>
      <c r="L343" t="s">
        <v>1906</v>
      </c>
      <c r="M343" t="s">
        <v>10</v>
      </c>
      <c r="N343">
        <f>Main5[[#This Row],[Quantity]]*Main5[[#This Row],[Unit Price]]</f>
        <v>411.34</v>
      </c>
      <c r="O343">
        <f>Main5[[#This Row],[Unit Price]]-Main5[[#This Row],[Unit Price]]*0.2</f>
        <v>329.072</v>
      </c>
      <c r="P343">
        <f>Main5[[#This Row],[Total Price]]-Main5[[#This Row],[Cost Price]]</f>
        <v>82.267999999999972</v>
      </c>
      <c r="Q343" t="str">
        <f>TEXT(Main5[[#This Row],[Date]],"mmm")</f>
        <v>Sep</v>
      </c>
    </row>
    <row r="344" spans="1:17" x14ac:dyDescent="0.25">
      <c r="A344" t="s">
        <v>456</v>
      </c>
      <c r="B344" t="s">
        <v>2105</v>
      </c>
      <c r="C344" t="s">
        <v>457</v>
      </c>
      <c r="D344" t="s">
        <v>60</v>
      </c>
      <c r="E344" t="s">
        <v>1891</v>
      </c>
      <c r="F344" t="s">
        <v>2106</v>
      </c>
      <c r="G344" t="s">
        <v>458</v>
      </c>
      <c r="H344" t="s">
        <v>52</v>
      </c>
      <c r="I344" t="s">
        <v>23</v>
      </c>
      <c r="J344" t="s">
        <v>459</v>
      </c>
      <c r="K344" t="s">
        <v>1891</v>
      </c>
      <c r="L344" t="s">
        <v>1889</v>
      </c>
      <c r="M344" t="s">
        <v>10</v>
      </c>
      <c r="N344">
        <f>Main5[[#This Row],[Quantity]]*Main5[[#This Row],[Unit Price]]</f>
        <v>410.78</v>
      </c>
      <c r="O344">
        <f>Main5[[#This Row],[Unit Price]]-Main5[[#This Row],[Unit Price]]*0.2</f>
        <v>328.62399999999997</v>
      </c>
      <c r="P344">
        <f>Main5[[#This Row],[Total Price]]-Main5[[#This Row],[Cost Price]]</f>
        <v>82.156000000000006</v>
      </c>
      <c r="Q344" t="str">
        <f>TEXT(Main5[[#This Row],[Date]],"mmm")</f>
        <v>Nov</v>
      </c>
    </row>
    <row r="345" spans="1:17" x14ac:dyDescent="0.25">
      <c r="A345" t="s">
        <v>427</v>
      </c>
      <c r="B345" t="s">
        <v>2091</v>
      </c>
      <c r="C345" t="s">
        <v>428</v>
      </c>
      <c r="D345" t="s">
        <v>5</v>
      </c>
      <c r="E345" t="s">
        <v>1891</v>
      </c>
      <c r="F345" t="s">
        <v>2092</v>
      </c>
      <c r="G345" t="s">
        <v>429</v>
      </c>
      <c r="H345" t="s">
        <v>15</v>
      </c>
      <c r="I345" t="s">
        <v>23</v>
      </c>
      <c r="J345" t="s">
        <v>430</v>
      </c>
      <c r="K345" t="s">
        <v>1883</v>
      </c>
      <c r="L345" t="s">
        <v>1911</v>
      </c>
      <c r="M345" t="s">
        <v>17</v>
      </c>
      <c r="N345">
        <f>Main5[[#This Row],[Quantity]]*Main5[[#This Row],[Unit Price]]</f>
        <v>410.6</v>
      </c>
      <c r="O345">
        <f>Main5[[#This Row],[Unit Price]]-Main5[[#This Row],[Unit Price]]*0.2</f>
        <v>328.48</v>
      </c>
      <c r="P345">
        <f>Main5[[#This Row],[Total Price]]-Main5[[#This Row],[Cost Price]]</f>
        <v>82.12</v>
      </c>
      <c r="Q345" t="str">
        <f>TEXT(Main5[[#This Row],[Date]],"mmm")</f>
        <v>Jan</v>
      </c>
    </row>
    <row r="346" spans="1:17" x14ac:dyDescent="0.25">
      <c r="A346" t="s">
        <v>1426</v>
      </c>
      <c r="B346" t="s">
        <v>2581</v>
      </c>
      <c r="C346" t="s">
        <v>1427</v>
      </c>
      <c r="D346" t="s">
        <v>20</v>
      </c>
      <c r="E346" t="s">
        <v>1885</v>
      </c>
      <c r="F346" t="s">
        <v>2582</v>
      </c>
      <c r="G346" t="s">
        <v>1428</v>
      </c>
      <c r="H346" t="s">
        <v>7</v>
      </c>
      <c r="I346" t="s">
        <v>30</v>
      </c>
      <c r="J346" t="s">
        <v>1429</v>
      </c>
      <c r="K346" t="s">
        <v>1888</v>
      </c>
      <c r="L346" t="s">
        <v>1881</v>
      </c>
      <c r="M346" t="s">
        <v>17</v>
      </c>
      <c r="N346">
        <f>Main5[[#This Row],[Quantity]]*Main5[[#This Row],[Unit Price]]</f>
        <v>409.02</v>
      </c>
      <c r="O346">
        <f>Main5[[#This Row],[Unit Price]]-Main5[[#This Row],[Unit Price]]*0.2</f>
        <v>109.072</v>
      </c>
      <c r="P346">
        <f>Main5[[#This Row],[Total Price]]-Main5[[#This Row],[Cost Price]]</f>
        <v>299.94799999999998</v>
      </c>
      <c r="Q346" t="str">
        <f>TEXT(Main5[[#This Row],[Date]],"mmm")</f>
        <v>Mar</v>
      </c>
    </row>
    <row r="347" spans="1:17" x14ac:dyDescent="0.25">
      <c r="A347" t="s">
        <v>261</v>
      </c>
      <c r="B347" t="s">
        <v>2009</v>
      </c>
      <c r="C347" t="s">
        <v>262</v>
      </c>
      <c r="D347" t="s">
        <v>5</v>
      </c>
      <c r="E347" t="s">
        <v>1878</v>
      </c>
      <c r="F347" t="s">
        <v>2010</v>
      </c>
      <c r="G347" t="s">
        <v>263</v>
      </c>
      <c r="H347" t="s">
        <v>22</v>
      </c>
      <c r="I347" t="s">
        <v>37</v>
      </c>
      <c r="J347" t="s">
        <v>264</v>
      </c>
      <c r="K347" t="s">
        <v>1900</v>
      </c>
      <c r="L347" t="s">
        <v>1906</v>
      </c>
      <c r="M347" t="s">
        <v>10</v>
      </c>
      <c r="N347">
        <f>Main5[[#This Row],[Quantity]]*Main5[[#This Row],[Unit Price]]</f>
        <v>408.5</v>
      </c>
      <c r="O347">
        <f>Main5[[#This Row],[Unit Price]]-Main5[[#This Row],[Unit Price]]*0.2</f>
        <v>65.36</v>
      </c>
      <c r="P347">
        <f>Main5[[#This Row],[Total Price]]-Main5[[#This Row],[Cost Price]]</f>
        <v>343.14</v>
      </c>
      <c r="Q347" t="str">
        <f>TEXT(Main5[[#This Row],[Date]],"mmm")</f>
        <v>Dec</v>
      </c>
    </row>
    <row r="348" spans="1:17" x14ac:dyDescent="0.25">
      <c r="A348" t="s">
        <v>837</v>
      </c>
      <c r="B348" t="s">
        <v>2294</v>
      </c>
      <c r="C348" t="s">
        <v>838</v>
      </c>
      <c r="D348" t="s">
        <v>13</v>
      </c>
      <c r="E348" t="s">
        <v>1891</v>
      </c>
      <c r="F348" t="s">
        <v>2295</v>
      </c>
      <c r="G348" t="s">
        <v>839</v>
      </c>
      <c r="H348" t="s">
        <v>22</v>
      </c>
      <c r="I348" t="s">
        <v>23</v>
      </c>
      <c r="J348" t="s">
        <v>840</v>
      </c>
      <c r="K348" t="s">
        <v>1878</v>
      </c>
      <c r="L348" t="s">
        <v>1881</v>
      </c>
      <c r="M348" t="s">
        <v>17</v>
      </c>
      <c r="N348">
        <f>Main5[[#This Row],[Quantity]]*Main5[[#This Row],[Unit Price]]</f>
        <v>406.22</v>
      </c>
      <c r="O348">
        <f>Main5[[#This Row],[Unit Price]]-Main5[[#This Row],[Unit Price]]*0.2</f>
        <v>324.976</v>
      </c>
      <c r="P348">
        <f>Main5[[#This Row],[Total Price]]-Main5[[#This Row],[Cost Price]]</f>
        <v>81.244000000000028</v>
      </c>
      <c r="Q348" t="str">
        <f>TEXT(Main5[[#This Row],[Date]],"mmm")</f>
        <v>Apr</v>
      </c>
    </row>
    <row r="349" spans="1:17" x14ac:dyDescent="0.25">
      <c r="A349" t="s">
        <v>1639</v>
      </c>
      <c r="B349" t="s">
        <v>2689</v>
      </c>
      <c r="C349" t="s">
        <v>1640</v>
      </c>
      <c r="D349" t="s">
        <v>60</v>
      </c>
      <c r="E349" t="s">
        <v>1885</v>
      </c>
      <c r="F349" t="s">
        <v>2690</v>
      </c>
      <c r="G349" t="s">
        <v>1641</v>
      </c>
      <c r="H349" t="s">
        <v>22</v>
      </c>
      <c r="I349" t="s">
        <v>8</v>
      </c>
      <c r="J349" t="s">
        <v>1642</v>
      </c>
      <c r="K349" t="s">
        <v>1885</v>
      </c>
      <c r="L349" t="s">
        <v>1906</v>
      </c>
      <c r="M349" t="s">
        <v>63</v>
      </c>
      <c r="N349">
        <f>Main5[[#This Row],[Quantity]]*Main5[[#This Row],[Unit Price]]</f>
        <v>402.15000000000003</v>
      </c>
      <c r="O349">
        <f>Main5[[#This Row],[Unit Price]]-Main5[[#This Row],[Unit Price]]*0.2</f>
        <v>107.24000000000001</v>
      </c>
      <c r="P349">
        <f>Main5[[#This Row],[Total Price]]-Main5[[#This Row],[Cost Price]]</f>
        <v>294.91000000000003</v>
      </c>
      <c r="Q349" t="str">
        <f>TEXT(Main5[[#This Row],[Date]],"mmm")</f>
        <v>Feb</v>
      </c>
    </row>
    <row r="350" spans="1:17" x14ac:dyDescent="0.25">
      <c r="A350" t="s">
        <v>125</v>
      </c>
      <c r="B350" t="s">
        <v>1940</v>
      </c>
      <c r="C350" t="s">
        <v>126</v>
      </c>
      <c r="D350" t="s">
        <v>5</v>
      </c>
      <c r="E350" t="s">
        <v>1891</v>
      </c>
      <c r="F350" t="s">
        <v>1941</v>
      </c>
      <c r="G350" t="s">
        <v>127</v>
      </c>
      <c r="H350" t="s">
        <v>7</v>
      </c>
      <c r="I350" t="s">
        <v>37</v>
      </c>
      <c r="J350" t="s">
        <v>128</v>
      </c>
      <c r="K350" t="s">
        <v>1885</v>
      </c>
      <c r="L350" t="s">
        <v>1911</v>
      </c>
      <c r="M350" t="s">
        <v>25</v>
      </c>
      <c r="N350">
        <f>Main5[[#This Row],[Quantity]]*Main5[[#This Row],[Unit Price]]</f>
        <v>399.98</v>
      </c>
      <c r="O350">
        <f>Main5[[#This Row],[Unit Price]]-Main5[[#This Row],[Unit Price]]*0.2</f>
        <v>319.98400000000004</v>
      </c>
      <c r="P350">
        <f>Main5[[#This Row],[Total Price]]-Main5[[#This Row],[Cost Price]]</f>
        <v>79.995999999999981</v>
      </c>
      <c r="Q350" t="str">
        <f>TEXT(Main5[[#This Row],[Date]],"mmm")</f>
        <v>Jul</v>
      </c>
    </row>
    <row r="351" spans="1:17" x14ac:dyDescent="0.25">
      <c r="A351" t="s">
        <v>959</v>
      </c>
      <c r="B351" t="s">
        <v>2352</v>
      </c>
      <c r="C351" t="s">
        <v>960</v>
      </c>
      <c r="D351" t="s">
        <v>35</v>
      </c>
      <c r="E351" t="s">
        <v>1885</v>
      </c>
      <c r="F351" t="s">
        <v>2353</v>
      </c>
      <c r="G351" t="s">
        <v>961</v>
      </c>
      <c r="H351" t="s">
        <v>15</v>
      </c>
      <c r="I351" t="s">
        <v>8</v>
      </c>
      <c r="J351" t="s">
        <v>962</v>
      </c>
      <c r="K351" t="s">
        <v>1894</v>
      </c>
      <c r="L351" t="s">
        <v>1906</v>
      </c>
      <c r="M351" t="s">
        <v>17</v>
      </c>
      <c r="N351">
        <f>Main5[[#This Row],[Quantity]]*Main5[[#This Row],[Unit Price]]</f>
        <v>397.43999999999994</v>
      </c>
      <c r="O351">
        <f>Main5[[#This Row],[Unit Price]]-Main5[[#This Row],[Unit Price]]*0.2</f>
        <v>105.98399999999999</v>
      </c>
      <c r="P351">
        <f>Main5[[#This Row],[Total Price]]-Main5[[#This Row],[Cost Price]]</f>
        <v>291.45599999999996</v>
      </c>
      <c r="Q351" t="str">
        <f>TEXT(Main5[[#This Row],[Date]],"mmm")</f>
        <v>Feb</v>
      </c>
    </row>
    <row r="352" spans="1:17" x14ac:dyDescent="0.25">
      <c r="A352" t="s">
        <v>1711</v>
      </c>
      <c r="B352" t="s">
        <v>2727</v>
      </c>
      <c r="C352" t="s">
        <v>1712</v>
      </c>
      <c r="D352" t="s">
        <v>60</v>
      </c>
      <c r="E352" t="s">
        <v>1891</v>
      </c>
      <c r="F352" t="s">
        <v>2728</v>
      </c>
      <c r="G352" t="s">
        <v>1713</v>
      </c>
      <c r="H352" t="s">
        <v>52</v>
      </c>
      <c r="I352" t="s">
        <v>8</v>
      </c>
      <c r="J352" t="s">
        <v>1714</v>
      </c>
      <c r="K352" t="s">
        <v>1883</v>
      </c>
      <c r="L352" t="s">
        <v>1889</v>
      </c>
      <c r="M352" t="s">
        <v>17</v>
      </c>
      <c r="N352">
        <f>Main5[[#This Row],[Quantity]]*Main5[[#This Row],[Unit Price]]</f>
        <v>394.53</v>
      </c>
      <c r="O352">
        <f>Main5[[#This Row],[Unit Price]]-Main5[[#This Row],[Unit Price]]*0.2</f>
        <v>315.62399999999997</v>
      </c>
      <c r="P352">
        <f>Main5[[#This Row],[Total Price]]-Main5[[#This Row],[Cost Price]]</f>
        <v>78.906000000000006</v>
      </c>
      <c r="Q352" t="str">
        <f>TEXT(Main5[[#This Row],[Date]],"mmm")</f>
        <v>Jun</v>
      </c>
    </row>
    <row r="353" spans="1:17" x14ac:dyDescent="0.25">
      <c r="A353" t="s">
        <v>257</v>
      </c>
      <c r="B353" t="s">
        <v>2007</v>
      </c>
      <c r="C353" t="s">
        <v>258</v>
      </c>
      <c r="D353" t="s">
        <v>35</v>
      </c>
      <c r="E353" t="s">
        <v>1885</v>
      </c>
      <c r="F353" t="s">
        <v>2008</v>
      </c>
      <c r="G353" t="s">
        <v>259</v>
      </c>
      <c r="H353" t="s">
        <v>7</v>
      </c>
      <c r="I353" t="s">
        <v>23</v>
      </c>
      <c r="J353" t="s">
        <v>260</v>
      </c>
      <c r="K353" t="s">
        <v>1894</v>
      </c>
      <c r="L353" t="s">
        <v>1889</v>
      </c>
      <c r="M353" t="s">
        <v>32</v>
      </c>
      <c r="N353">
        <f>Main5[[#This Row],[Quantity]]*Main5[[#This Row],[Unit Price]]</f>
        <v>391.83000000000004</v>
      </c>
      <c r="O353">
        <f>Main5[[#This Row],[Unit Price]]-Main5[[#This Row],[Unit Price]]*0.2</f>
        <v>104.48800000000001</v>
      </c>
      <c r="P353">
        <f>Main5[[#This Row],[Total Price]]-Main5[[#This Row],[Cost Price]]</f>
        <v>287.34200000000004</v>
      </c>
      <c r="Q353" t="str">
        <f>TEXT(Main5[[#This Row],[Date]],"mmm")</f>
        <v>Jun</v>
      </c>
    </row>
    <row r="354" spans="1:17" x14ac:dyDescent="0.25">
      <c r="A354" t="s">
        <v>209</v>
      </c>
      <c r="B354" t="s">
        <v>1983</v>
      </c>
      <c r="C354" t="s">
        <v>210</v>
      </c>
      <c r="D354" t="s">
        <v>20</v>
      </c>
      <c r="E354" t="s">
        <v>1891</v>
      </c>
      <c r="F354" t="s">
        <v>1984</v>
      </c>
      <c r="G354" t="s">
        <v>211</v>
      </c>
      <c r="H354" t="s">
        <v>52</v>
      </c>
      <c r="I354" t="s">
        <v>30</v>
      </c>
      <c r="J354" t="s">
        <v>212</v>
      </c>
      <c r="K354" t="s">
        <v>1883</v>
      </c>
      <c r="L354" t="s">
        <v>1881</v>
      </c>
      <c r="M354" t="s">
        <v>32</v>
      </c>
      <c r="N354">
        <f>Main5[[#This Row],[Quantity]]*Main5[[#This Row],[Unit Price]]</f>
        <v>388.33</v>
      </c>
      <c r="O354">
        <f>Main5[[#This Row],[Unit Price]]-Main5[[#This Row],[Unit Price]]*0.2</f>
        <v>310.66399999999999</v>
      </c>
      <c r="P354">
        <f>Main5[[#This Row],[Total Price]]-Main5[[#This Row],[Cost Price]]</f>
        <v>77.665999999999997</v>
      </c>
      <c r="Q354" t="str">
        <f>TEXT(Main5[[#This Row],[Date]],"mmm")</f>
        <v>Dec</v>
      </c>
    </row>
    <row r="355" spans="1:17" x14ac:dyDescent="0.25">
      <c r="A355" t="s">
        <v>1844</v>
      </c>
      <c r="B355" t="s">
        <v>2799</v>
      </c>
      <c r="C355" t="s">
        <v>1845</v>
      </c>
      <c r="D355" t="s">
        <v>28</v>
      </c>
      <c r="E355" t="s">
        <v>1891</v>
      </c>
      <c r="F355" t="s">
        <v>2800</v>
      </c>
      <c r="G355" t="s">
        <v>1846</v>
      </c>
      <c r="H355" t="s">
        <v>7</v>
      </c>
      <c r="I355" t="s">
        <v>75</v>
      </c>
      <c r="J355" t="s">
        <v>1847</v>
      </c>
      <c r="K355" t="s">
        <v>1878</v>
      </c>
      <c r="L355" t="s">
        <v>1906</v>
      </c>
      <c r="M355" t="s">
        <v>25</v>
      </c>
      <c r="N355">
        <f>Main5[[#This Row],[Quantity]]*Main5[[#This Row],[Unit Price]]</f>
        <v>381.61</v>
      </c>
      <c r="O355">
        <f>Main5[[#This Row],[Unit Price]]-Main5[[#This Row],[Unit Price]]*0.2</f>
        <v>305.28800000000001</v>
      </c>
      <c r="P355">
        <f>Main5[[#This Row],[Total Price]]-Main5[[#This Row],[Cost Price]]</f>
        <v>76.322000000000003</v>
      </c>
      <c r="Q355" t="str">
        <f>TEXT(Main5[[#This Row],[Date]],"mmm")</f>
        <v>Apr</v>
      </c>
    </row>
    <row r="356" spans="1:17" x14ac:dyDescent="0.25">
      <c r="A356" t="s">
        <v>387</v>
      </c>
      <c r="B356" t="s">
        <v>2071</v>
      </c>
      <c r="C356" t="s">
        <v>388</v>
      </c>
      <c r="D356" t="s">
        <v>35</v>
      </c>
      <c r="E356" t="s">
        <v>1891</v>
      </c>
      <c r="F356" t="s">
        <v>2072</v>
      </c>
      <c r="G356" t="s">
        <v>389</v>
      </c>
      <c r="H356" t="s">
        <v>52</v>
      </c>
      <c r="I356" t="s">
        <v>8</v>
      </c>
      <c r="J356" t="s">
        <v>390</v>
      </c>
      <c r="K356" t="s">
        <v>1900</v>
      </c>
      <c r="L356" t="s">
        <v>1906</v>
      </c>
      <c r="M356" t="s">
        <v>63</v>
      </c>
      <c r="N356">
        <f>Main5[[#This Row],[Quantity]]*Main5[[#This Row],[Unit Price]]</f>
        <v>381.02</v>
      </c>
      <c r="O356">
        <f>Main5[[#This Row],[Unit Price]]-Main5[[#This Row],[Unit Price]]*0.2</f>
        <v>304.81599999999997</v>
      </c>
      <c r="P356">
        <f>Main5[[#This Row],[Total Price]]-Main5[[#This Row],[Cost Price]]</f>
        <v>76.204000000000008</v>
      </c>
      <c r="Q356" t="str">
        <f>TEXT(Main5[[#This Row],[Date]],"mmm")</f>
        <v>Nov</v>
      </c>
    </row>
    <row r="357" spans="1:17" x14ac:dyDescent="0.25">
      <c r="A357" t="s">
        <v>1099</v>
      </c>
      <c r="B357" t="s">
        <v>2420</v>
      </c>
      <c r="C357" t="s">
        <v>1100</v>
      </c>
      <c r="D357" t="s">
        <v>5</v>
      </c>
      <c r="E357" t="s">
        <v>1894</v>
      </c>
      <c r="F357" t="s">
        <v>2421</v>
      </c>
      <c r="G357" t="s">
        <v>1101</v>
      </c>
      <c r="H357" t="s">
        <v>15</v>
      </c>
      <c r="I357" t="s">
        <v>8</v>
      </c>
      <c r="J357" t="s">
        <v>1102</v>
      </c>
      <c r="K357" t="s">
        <v>1888</v>
      </c>
      <c r="L357" t="s">
        <v>1889</v>
      </c>
      <c r="M357" t="s">
        <v>32</v>
      </c>
      <c r="N357">
        <f>Main5[[#This Row],[Quantity]]*Main5[[#This Row],[Unit Price]]</f>
        <v>380.12</v>
      </c>
      <c r="O357">
        <f>Main5[[#This Row],[Unit Price]]-Main5[[#This Row],[Unit Price]]*0.2</f>
        <v>76.024000000000001</v>
      </c>
      <c r="P357">
        <f>Main5[[#This Row],[Total Price]]-Main5[[#This Row],[Cost Price]]</f>
        <v>304.096</v>
      </c>
      <c r="Q357" t="str">
        <f>TEXT(Main5[[#This Row],[Date]],"mmm")</f>
        <v>Jan</v>
      </c>
    </row>
    <row r="358" spans="1:17" x14ac:dyDescent="0.25">
      <c r="A358" t="s">
        <v>833</v>
      </c>
      <c r="B358" t="s">
        <v>2292</v>
      </c>
      <c r="C358" t="s">
        <v>834</v>
      </c>
      <c r="D358" t="s">
        <v>28</v>
      </c>
      <c r="E358" t="s">
        <v>1878</v>
      </c>
      <c r="F358" t="s">
        <v>2293</v>
      </c>
      <c r="G358" t="s">
        <v>835</v>
      </c>
      <c r="H358" t="s">
        <v>47</v>
      </c>
      <c r="I358" t="s">
        <v>30</v>
      </c>
      <c r="J358" t="s">
        <v>836</v>
      </c>
      <c r="K358" t="s">
        <v>1954</v>
      </c>
      <c r="L358" t="s">
        <v>1911</v>
      </c>
      <c r="M358" t="s">
        <v>10</v>
      </c>
      <c r="N358">
        <f>Main5[[#This Row],[Quantity]]*Main5[[#This Row],[Unit Price]]</f>
        <v>379.05</v>
      </c>
      <c r="O358">
        <f>Main5[[#This Row],[Unit Price]]-Main5[[#This Row],[Unit Price]]*0.2</f>
        <v>60.648000000000003</v>
      </c>
      <c r="P358">
        <f>Main5[[#This Row],[Total Price]]-Main5[[#This Row],[Cost Price]]</f>
        <v>318.40199999999999</v>
      </c>
      <c r="Q358" t="str">
        <f>TEXT(Main5[[#This Row],[Date]],"mmm")</f>
        <v>Jun</v>
      </c>
    </row>
    <row r="359" spans="1:17" x14ac:dyDescent="0.25">
      <c r="A359" t="s">
        <v>1304</v>
      </c>
      <c r="B359" t="s">
        <v>2519</v>
      </c>
      <c r="C359" t="s">
        <v>1305</v>
      </c>
      <c r="D359" t="s">
        <v>35</v>
      </c>
      <c r="E359" t="s">
        <v>1891</v>
      </c>
      <c r="F359" t="s">
        <v>2520</v>
      </c>
      <c r="G359" t="s">
        <v>1306</v>
      </c>
      <c r="H359" t="s">
        <v>7</v>
      </c>
      <c r="I359" t="s">
        <v>37</v>
      </c>
      <c r="J359" t="s">
        <v>1307</v>
      </c>
      <c r="K359" t="s">
        <v>1878</v>
      </c>
      <c r="L359" t="s">
        <v>1881</v>
      </c>
      <c r="M359" t="s">
        <v>25</v>
      </c>
      <c r="N359">
        <f>Main5[[#This Row],[Quantity]]*Main5[[#This Row],[Unit Price]]</f>
        <v>376.76</v>
      </c>
      <c r="O359">
        <f>Main5[[#This Row],[Unit Price]]-Main5[[#This Row],[Unit Price]]*0.2</f>
        <v>301.40800000000002</v>
      </c>
      <c r="P359">
        <f>Main5[[#This Row],[Total Price]]-Main5[[#This Row],[Cost Price]]</f>
        <v>75.351999999999975</v>
      </c>
      <c r="Q359" t="str">
        <f>TEXT(Main5[[#This Row],[Date]],"mmm")</f>
        <v>Dec</v>
      </c>
    </row>
    <row r="360" spans="1:17" x14ac:dyDescent="0.25">
      <c r="A360" t="s">
        <v>1798</v>
      </c>
      <c r="B360" t="s">
        <v>2773</v>
      </c>
      <c r="C360" t="s">
        <v>1799</v>
      </c>
      <c r="D360" t="s">
        <v>5</v>
      </c>
      <c r="E360" t="s">
        <v>1891</v>
      </c>
      <c r="F360" t="s">
        <v>2774</v>
      </c>
      <c r="G360" t="s">
        <v>1800</v>
      </c>
      <c r="H360" t="s">
        <v>47</v>
      </c>
      <c r="I360" t="s">
        <v>37</v>
      </c>
      <c r="J360" t="s">
        <v>1801</v>
      </c>
      <c r="K360" t="s">
        <v>1883</v>
      </c>
      <c r="L360" t="s">
        <v>1889</v>
      </c>
      <c r="M360" t="s">
        <v>17</v>
      </c>
      <c r="N360">
        <f>Main5[[#This Row],[Quantity]]*Main5[[#This Row],[Unit Price]]</f>
        <v>370.85</v>
      </c>
      <c r="O360">
        <f>Main5[[#This Row],[Unit Price]]-Main5[[#This Row],[Unit Price]]*0.2</f>
        <v>296.68</v>
      </c>
      <c r="P360">
        <f>Main5[[#This Row],[Total Price]]-Main5[[#This Row],[Cost Price]]</f>
        <v>74.170000000000016</v>
      </c>
      <c r="Q360" t="str">
        <f>TEXT(Main5[[#This Row],[Date]],"mmm")</f>
        <v>Dec</v>
      </c>
    </row>
    <row r="361" spans="1:17" x14ac:dyDescent="0.25">
      <c r="A361" t="s">
        <v>1530</v>
      </c>
      <c r="B361" t="s">
        <v>2633</v>
      </c>
      <c r="C361" t="s">
        <v>1531</v>
      </c>
      <c r="D361" t="s">
        <v>28</v>
      </c>
      <c r="E361" t="s">
        <v>1885</v>
      </c>
      <c r="F361" t="s">
        <v>2634</v>
      </c>
      <c r="G361" t="s">
        <v>1532</v>
      </c>
      <c r="H361" t="s">
        <v>15</v>
      </c>
      <c r="I361" t="s">
        <v>37</v>
      </c>
      <c r="J361" t="s">
        <v>1533</v>
      </c>
      <c r="K361" t="s">
        <v>1894</v>
      </c>
      <c r="L361" t="s">
        <v>1911</v>
      </c>
      <c r="M361" t="s">
        <v>25</v>
      </c>
      <c r="N361">
        <f>Main5[[#This Row],[Quantity]]*Main5[[#This Row],[Unit Price]]</f>
        <v>366.33</v>
      </c>
      <c r="O361">
        <f>Main5[[#This Row],[Unit Price]]-Main5[[#This Row],[Unit Price]]*0.2</f>
        <v>97.688000000000002</v>
      </c>
      <c r="P361">
        <f>Main5[[#This Row],[Total Price]]-Main5[[#This Row],[Cost Price]]</f>
        <v>268.642</v>
      </c>
      <c r="Q361" t="str">
        <f>TEXT(Main5[[#This Row],[Date]],"mmm")</f>
        <v>Oct</v>
      </c>
    </row>
    <row r="362" spans="1:17" x14ac:dyDescent="0.25">
      <c r="A362" t="s">
        <v>741</v>
      </c>
      <c r="B362" t="s">
        <v>2246</v>
      </c>
      <c r="C362" t="s">
        <v>742</v>
      </c>
      <c r="D362" t="s">
        <v>35</v>
      </c>
      <c r="E362" t="s">
        <v>1894</v>
      </c>
      <c r="F362" t="s">
        <v>2247</v>
      </c>
      <c r="G362" t="s">
        <v>743</v>
      </c>
      <c r="H362" t="s">
        <v>52</v>
      </c>
      <c r="I362" t="s">
        <v>23</v>
      </c>
      <c r="J362" t="s">
        <v>744</v>
      </c>
      <c r="K362" t="s">
        <v>1903</v>
      </c>
      <c r="L362" t="s">
        <v>1881</v>
      </c>
      <c r="M362" t="s">
        <v>17</v>
      </c>
      <c r="N362">
        <f>Main5[[#This Row],[Quantity]]*Main5[[#This Row],[Unit Price]]</f>
        <v>365.84</v>
      </c>
      <c r="O362">
        <f>Main5[[#This Row],[Unit Price]]-Main5[[#This Row],[Unit Price]]*0.2</f>
        <v>73.167999999999992</v>
      </c>
      <c r="P362">
        <f>Main5[[#This Row],[Total Price]]-Main5[[#This Row],[Cost Price]]</f>
        <v>292.67199999999997</v>
      </c>
      <c r="Q362" t="str">
        <f>TEXT(Main5[[#This Row],[Date]],"mmm")</f>
        <v>Sep</v>
      </c>
    </row>
    <row r="363" spans="1:17" x14ac:dyDescent="0.25">
      <c r="A363" t="s">
        <v>879</v>
      </c>
      <c r="B363" t="s">
        <v>2314</v>
      </c>
      <c r="C363" t="s">
        <v>880</v>
      </c>
      <c r="D363" t="s">
        <v>13</v>
      </c>
      <c r="E363" t="s">
        <v>1883</v>
      </c>
      <c r="F363" t="s">
        <v>2315</v>
      </c>
      <c r="G363" t="s">
        <v>881</v>
      </c>
      <c r="H363" t="s">
        <v>47</v>
      </c>
      <c r="I363" t="s">
        <v>23</v>
      </c>
      <c r="J363" t="s">
        <v>882</v>
      </c>
      <c r="K363" t="s">
        <v>1878</v>
      </c>
      <c r="L363" t="s">
        <v>1881</v>
      </c>
      <c r="M363" t="s">
        <v>17</v>
      </c>
      <c r="N363">
        <f>Main5[[#This Row],[Quantity]]*Main5[[#This Row],[Unit Price]]</f>
        <v>364.8</v>
      </c>
      <c r="O363">
        <f>Main5[[#This Row],[Unit Price]]-Main5[[#This Row],[Unit Price]]*0.2</f>
        <v>145.92000000000002</v>
      </c>
      <c r="P363">
        <f>Main5[[#This Row],[Total Price]]-Main5[[#This Row],[Cost Price]]</f>
        <v>218.88</v>
      </c>
      <c r="Q363" t="str">
        <f>TEXT(Main5[[#This Row],[Date]],"mmm")</f>
        <v>Feb</v>
      </c>
    </row>
    <row r="364" spans="1:17" x14ac:dyDescent="0.25">
      <c r="A364" t="s">
        <v>72</v>
      </c>
      <c r="B364" t="s">
        <v>1914</v>
      </c>
      <c r="C364" t="s">
        <v>73</v>
      </c>
      <c r="D364" t="s">
        <v>5</v>
      </c>
      <c r="E364" t="s">
        <v>1883</v>
      </c>
      <c r="F364" t="s">
        <v>1915</v>
      </c>
      <c r="G364" t="s">
        <v>74</v>
      </c>
      <c r="H364" t="s">
        <v>7</v>
      </c>
      <c r="I364" t="s">
        <v>75</v>
      </c>
      <c r="J364" t="s">
        <v>76</v>
      </c>
      <c r="K364" t="s">
        <v>1900</v>
      </c>
      <c r="L364" t="s">
        <v>1889</v>
      </c>
      <c r="M364" t="s">
        <v>17</v>
      </c>
      <c r="N364">
        <f>Main5[[#This Row],[Quantity]]*Main5[[#This Row],[Unit Price]]</f>
        <v>361</v>
      </c>
      <c r="O364">
        <f>Main5[[#This Row],[Unit Price]]-Main5[[#This Row],[Unit Price]]*0.2</f>
        <v>144.4</v>
      </c>
      <c r="P364">
        <f>Main5[[#This Row],[Total Price]]-Main5[[#This Row],[Cost Price]]</f>
        <v>216.6</v>
      </c>
      <c r="Q364" t="str">
        <f>TEXT(Main5[[#This Row],[Date]],"mmm")</f>
        <v>Oct</v>
      </c>
    </row>
    <row r="365" spans="1:17" x14ac:dyDescent="0.25">
      <c r="A365" t="s">
        <v>1806</v>
      </c>
      <c r="B365" t="s">
        <v>2777</v>
      </c>
      <c r="C365" t="s">
        <v>1807</v>
      </c>
      <c r="D365" t="s">
        <v>20</v>
      </c>
      <c r="E365" t="s">
        <v>1883</v>
      </c>
      <c r="F365" t="s">
        <v>2778</v>
      </c>
      <c r="G365" t="s">
        <v>1760</v>
      </c>
      <c r="H365" t="s">
        <v>47</v>
      </c>
      <c r="I365" t="s">
        <v>8</v>
      </c>
      <c r="J365" t="s">
        <v>1808</v>
      </c>
      <c r="K365" t="s">
        <v>1878</v>
      </c>
      <c r="L365" t="s">
        <v>1906</v>
      </c>
      <c r="M365" t="s">
        <v>10</v>
      </c>
      <c r="N365">
        <f>Main5[[#This Row],[Quantity]]*Main5[[#This Row],[Unit Price]]</f>
        <v>359.92</v>
      </c>
      <c r="O365">
        <f>Main5[[#This Row],[Unit Price]]-Main5[[#This Row],[Unit Price]]*0.2</f>
        <v>143.96800000000002</v>
      </c>
      <c r="P365">
        <f>Main5[[#This Row],[Total Price]]-Main5[[#This Row],[Cost Price]]</f>
        <v>215.952</v>
      </c>
      <c r="Q365" t="str">
        <f>TEXT(Main5[[#This Row],[Date]],"mmm")</f>
        <v>Jan</v>
      </c>
    </row>
    <row r="366" spans="1:17" x14ac:dyDescent="0.25">
      <c r="A366" t="s">
        <v>1329</v>
      </c>
      <c r="B366" t="s">
        <v>2533</v>
      </c>
      <c r="C366" t="s">
        <v>1330</v>
      </c>
      <c r="D366" t="s">
        <v>28</v>
      </c>
      <c r="E366" t="s">
        <v>1894</v>
      </c>
      <c r="F366" t="s">
        <v>2534</v>
      </c>
      <c r="G366" t="s">
        <v>1331</v>
      </c>
      <c r="H366" t="s">
        <v>15</v>
      </c>
      <c r="I366" t="s">
        <v>75</v>
      </c>
      <c r="J366" t="s">
        <v>1332</v>
      </c>
      <c r="K366" t="s">
        <v>1903</v>
      </c>
      <c r="L366" t="s">
        <v>1906</v>
      </c>
      <c r="M366" t="s">
        <v>63</v>
      </c>
      <c r="N366">
        <f>Main5[[#This Row],[Quantity]]*Main5[[#This Row],[Unit Price]]</f>
        <v>357.64</v>
      </c>
      <c r="O366">
        <f>Main5[[#This Row],[Unit Price]]-Main5[[#This Row],[Unit Price]]*0.2</f>
        <v>71.527999999999992</v>
      </c>
      <c r="P366">
        <f>Main5[[#This Row],[Total Price]]-Main5[[#This Row],[Cost Price]]</f>
        <v>286.11199999999997</v>
      </c>
      <c r="Q366" t="str">
        <f>TEXT(Main5[[#This Row],[Date]],"mmm")</f>
        <v>Jul</v>
      </c>
    </row>
    <row r="367" spans="1:17" x14ac:dyDescent="0.25">
      <c r="A367" t="s">
        <v>342</v>
      </c>
      <c r="B367" t="s">
        <v>2049</v>
      </c>
      <c r="C367" t="s">
        <v>343</v>
      </c>
      <c r="D367" t="s">
        <v>60</v>
      </c>
      <c r="E367" t="s">
        <v>1885</v>
      </c>
      <c r="F367" t="s">
        <v>2050</v>
      </c>
      <c r="G367" t="s">
        <v>344</v>
      </c>
      <c r="H367" t="s">
        <v>47</v>
      </c>
      <c r="I367" t="s">
        <v>23</v>
      </c>
      <c r="J367" t="s">
        <v>345</v>
      </c>
      <c r="K367" t="s">
        <v>1880</v>
      </c>
      <c r="L367" t="s">
        <v>1906</v>
      </c>
      <c r="M367" t="s">
        <v>63</v>
      </c>
      <c r="N367">
        <f>Main5[[#This Row],[Quantity]]*Main5[[#This Row],[Unit Price]]</f>
        <v>344.43</v>
      </c>
      <c r="O367">
        <f>Main5[[#This Row],[Unit Price]]-Main5[[#This Row],[Unit Price]]*0.2</f>
        <v>91.847999999999999</v>
      </c>
      <c r="P367">
        <f>Main5[[#This Row],[Total Price]]-Main5[[#This Row],[Cost Price]]</f>
        <v>252.58199999999999</v>
      </c>
      <c r="Q367" t="str">
        <f>TEXT(Main5[[#This Row],[Date]],"mmm")</f>
        <v>Jun</v>
      </c>
    </row>
    <row r="368" spans="1:17" x14ac:dyDescent="0.25">
      <c r="A368" t="s">
        <v>1862</v>
      </c>
      <c r="B368" t="s">
        <v>2809</v>
      </c>
      <c r="C368" t="s">
        <v>1863</v>
      </c>
      <c r="D368" t="s">
        <v>28</v>
      </c>
      <c r="E368" t="s">
        <v>1891</v>
      </c>
      <c r="F368" t="s">
        <v>2810</v>
      </c>
      <c r="G368" t="s">
        <v>1864</v>
      </c>
      <c r="H368" t="s">
        <v>47</v>
      </c>
      <c r="I368" t="s">
        <v>30</v>
      </c>
      <c r="J368" t="s">
        <v>1865</v>
      </c>
      <c r="K368" t="s">
        <v>1900</v>
      </c>
      <c r="L368" t="s">
        <v>1881</v>
      </c>
      <c r="M368" t="s">
        <v>63</v>
      </c>
      <c r="N368">
        <f>Main5[[#This Row],[Quantity]]*Main5[[#This Row],[Unit Price]]</f>
        <v>343.31</v>
      </c>
      <c r="O368">
        <f>Main5[[#This Row],[Unit Price]]-Main5[[#This Row],[Unit Price]]*0.2</f>
        <v>274.64800000000002</v>
      </c>
      <c r="P368">
        <f>Main5[[#This Row],[Total Price]]-Main5[[#This Row],[Cost Price]]</f>
        <v>68.661999999999978</v>
      </c>
      <c r="Q368" t="str">
        <f>TEXT(Main5[[#This Row],[Date]],"mmm")</f>
        <v>Jul</v>
      </c>
    </row>
    <row r="369" spans="1:17" x14ac:dyDescent="0.25">
      <c r="A369" t="s">
        <v>614</v>
      </c>
      <c r="B369" t="s">
        <v>2183</v>
      </c>
      <c r="C369" t="s">
        <v>615</v>
      </c>
      <c r="D369" t="s">
        <v>28</v>
      </c>
      <c r="E369" t="s">
        <v>1878</v>
      </c>
      <c r="F369" t="s">
        <v>2184</v>
      </c>
      <c r="G369" t="s">
        <v>616</v>
      </c>
      <c r="H369" t="s">
        <v>7</v>
      </c>
      <c r="I369" t="s">
        <v>75</v>
      </c>
      <c r="J369" t="s">
        <v>617</v>
      </c>
      <c r="K369" t="s">
        <v>1900</v>
      </c>
      <c r="L369" t="s">
        <v>1911</v>
      </c>
      <c r="M369" t="s">
        <v>17</v>
      </c>
      <c r="N369">
        <f>Main5[[#This Row],[Quantity]]*Main5[[#This Row],[Unit Price]]</f>
        <v>341.70000000000005</v>
      </c>
      <c r="O369">
        <f>Main5[[#This Row],[Unit Price]]-Main5[[#This Row],[Unit Price]]*0.2</f>
        <v>54.672000000000004</v>
      </c>
      <c r="P369">
        <f>Main5[[#This Row],[Total Price]]-Main5[[#This Row],[Cost Price]]</f>
        <v>287.02800000000002</v>
      </c>
      <c r="Q369" t="str">
        <f>TEXT(Main5[[#This Row],[Date]],"mmm")</f>
        <v>Feb</v>
      </c>
    </row>
    <row r="370" spans="1:17" x14ac:dyDescent="0.25">
      <c r="A370" t="s">
        <v>725</v>
      </c>
      <c r="B370" t="s">
        <v>2237</v>
      </c>
      <c r="C370" t="s">
        <v>726</v>
      </c>
      <c r="D370" t="s">
        <v>20</v>
      </c>
      <c r="E370" t="s">
        <v>1885</v>
      </c>
      <c r="F370" t="s">
        <v>2238</v>
      </c>
      <c r="G370" t="s">
        <v>727</v>
      </c>
      <c r="H370" t="s">
        <v>47</v>
      </c>
      <c r="I370" t="s">
        <v>8</v>
      </c>
      <c r="J370" t="s">
        <v>728</v>
      </c>
      <c r="K370" t="s">
        <v>1900</v>
      </c>
      <c r="L370" t="s">
        <v>1881</v>
      </c>
      <c r="M370" t="s">
        <v>10</v>
      </c>
      <c r="N370">
        <f>Main5[[#This Row],[Quantity]]*Main5[[#This Row],[Unit Price]]</f>
        <v>337.38</v>
      </c>
      <c r="O370">
        <f>Main5[[#This Row],[Unit Price]]-Main5[[#This Row],[Unit Price]]*0.2</f>
        <v>89.967999999999989</v>
      </c>
      <c r="P370">
        <f>Main5[[#This Row],[Total Price]]-Main5[[#This Row],[Cost Price]]</f>
        <v>247.41200000000001</v>
      </c>
      <c r="Q370" t="str">
        <f>TEXT(Main5[[#This Row],[Date]],"mmm")</f>
        <v>Apr</v>
      </c>
    </row>
    <row r="371" spans="1:17" x14ac:dyDescent="0.25">
      <c r="A371" t="s">
        <v>1494</v>
      </c>
      <c r="B371" t="s">
        <v>2615</v>
      </c>
      <c r="C371" t="s">
        <v>1495</v>
      </c>
      <c r="D371" t="s">
        <v>20</v>
      </c>
      <c r="E371" t="s">
        <v>1891</v>
      </c>
      <c r="F371" t="s">
        <v>2616</v>
      </c>
      <c r="G371" t="s">
        <v>1496</v>
      </c>
      <c r="H371" t="s">
        <v>47</v>
      </c>
      <c r="I371" t="s">
        <v>30</v>
      </c>
      <c r="J371" t="s">
        <v>1497</v>
      </c>
      <c r="K371" t="s">
        <v>1878</v>
      </c>
      <c r="L371" t="s">
        <v>1889</v>
      </c>
      <c r="M371" t="s">
        <v>10</v>
      </c>
      <c r="N371">
        <f>Main5[[#This Row],[Quantity]]*Main5[[#This Row],[Unit Price]]</f>
        <v>332.09</v>
      </c>
      <c r="O371">
        <f>Main5[[#This Row],[Unit Price]]-Main5[[#This Row],[Unit Price]]*0.2</f>
        <v>265.67199999999997</v>
      </c>
      <c r="P371">
        <f>Main5[[#This Row],[Total Price]]-Main5[[#This Row],[Cost Price]]</f>
        <v>66.418000000000006</v>
      </c>
      <c r="Q371" t="str">
        <f>TEXT(Main5[[#This Row],[Date]],"mmm")</f>
        <v>Sep</v>
      </c>
    </row>
    <row r="372" spans="1:17" x14ac:dyDescent="0.25">
      <c r="A372" t="s">
        <v>572</v>
      </c>
      <c r="B372" t="s">
        <v>2163</v>
      </c>
      <c r="C372" t="s">
        <v>573</v>
      </c>
      <c r="D372" t="s">
        <v>20</v>
      </c>
      <c r="E372" t="s">
        <v>1891</v>
      </c>
      <c r="F372" t="s">
        <v>2164</v>
      </c>
      <c r="G372" t="s">
        <v>574</v>
      </c>
      <c r="H372" t="s">
        <v>22</v>
      </c>
      <c r="I372" t="s">
        <v>75</v>
      </c>
      <c r="J372" t="s">
        <v>575</v>
      </c>
      <c r="K372" t="s">
        <v>1878</v>
      </c>
      <c r="L372" t="s">
        <v>1911</v>
      </c>
      <c r="M372" t="s">
        <v>10</v>
      </c>
      <c r="N372">
        <f>Main5[[#This Row],[Quantity]]*Main5[[#This Row],[Unit Price]]</f>
        <v>331.06</v>
      </c>
      <c r="O372">
        <f>Main5[[#This Row],[Unit Price]]-Main5[[#This Row],[Unit Price]]*0.2</f>
        <v>264.84800000000001</v>
      </c>
      <c r="P372">
        <f>Main5[[#This Row],[Total Price]]-Main5[[#This Row],[Cost Price]]</f>
        <v>66.211999999999989</v>
      </c>
      <c r="Q372" t="str">
        <f>TEXT(Main5[[#This Row],[Date]],"mmm")</f>
        <v>May</v>
      </c>
    </row>
    <row r="373" spans="1:17" x14ac:dyDescent="0.25">
      <c r="A373" t="s">
        <v>326</v>
      </c>
      <c r="B373" t="s">
        <v>2041</v>
      </c>
      <c r="C373" t="s">
        <v>327</v>
      </c>
      <c r="D373" t="s">
        <v>5</v>
      </c>
      <c r="E373" t="s">
        <v>1883</v>
      </c>
      <c r="F373" t="s">
        <v>2042</v>
      </c>
      <c r="G373" t="s">
        <v>328</v>
      </c>
      <c r="H373" t="s">
        <v>15</v>
      </c>
      <c r="I373" t="s">
        <v>8</v>
      </c>
      <c r="J373" t="s">
        <v>329</v>
      </c>
      <c r="K373" t="s">
        <v>1894</v>
      </c>
      <c r="L373" t="s">
        <v>1911</v>
      </c>
      <c r="M373" t="s">
        <v>10</v>
      </c>
      <c r="N373">
        <f>Main5[[#This Row],[Quantity]]*Main5[[#This Row],[Unit Price]]</f>
        <v>330.98</v>
      </c>
      <c r="O373">
        <f>Main5[[#This Row],[Unit Price]]-Main5[[#This Row],[Unit Price]]*0.2</f>
        <v>132.392</v>
      </c>
      <c r="P373">
        <f>Main5[[#This Row],[Total Price]]-Main5[[#This Row],[Cost Price]]</f>
        <v>198.58800000000002</v>
      </c>
      <c r="Q373" t="str">
        <f>TEXT(Main5[[#This Row],[Date]],"mmm")</f>
        <v>Aug</v>
      </c>
    </row>
    <row r="374" spans="1:17" x14ac:dyDescent="0.25">
      <c r="A374" t="s">
        <v>1107</v>
      </c>
      <c r="B374" t="s">
        <v>2424</v>
      </c>
      <c r="C374" t="s">
        <v>1108</v>
      </c>
      <c r="D374" t="s">
        <v>28</v>
      </c>
      <c r="E374" t="s">
        <v>1878</v>
      </c>
      <c r="F374" t="s">
        <v>2425</v>
      </c>
      <c r="G374" t="s">
        <v>1109</v>
      </c>
      <c r="H374" t="s">
        <v>22</v>
      </c>
      <c r="I374" t="s">
        <v>75</v>
      </c>
      <c r="J374" t="s">
        <v>1110</v>
      </c>
      <c r="K374" t="s">
        <v>1888</v>
      </c>
      <c r="L374" t="s">
        <v>1911</v>
      </c>
      <c r="M374" t="s">
        <v>10</v>
      </c>
      <c r="N374">
        <f>Main5[[#This Row],[Quantity]]*Main5[[#This Row],[Unit Price]]</f>
        <v>322.5</v>
      </c>
      <c r="O374">
        <f>Main5[[#This Row],[Unit Price]]-Main5[[#This Row],[Unit Price]]*0.2</f>
        <v>51.6</v>
      </c>
      <c r="P374">
        <f>Main5[[#This Row],[Total Price]]-Main5[[#This Row],[Cost Price]]</f>
        <v>270.89999999999998</v>
      </c>
      <c r="Q374" t="str">
        <f>TEXT(Main5[[#This Row],[Date]],"mmm")</f>
        <v>Feb</v>
      </c>
    </row>
    <row r="375" spans="1:17" x14ac:dyDescent="0.25">
      <c r="A375" t="s">
        <v>1670</v>
      </c>
      <c r="B375" t="s">
        <v>2705</v>
      </c>
      <c r="C375" t="s">
        <v>1671</v>
      </c>
      <c r="D375" t="s">
        <v>28</v>
      </c>
      <c r="E375" t="s">
        <v>1891</v>
      </c>
      <c r="F375" t="s">
        <v>2706</v>
      </c>
      <c r="G375" t="s">
        <v>1672</v>
      </c>
      <c r="H375" t="s">
        <v>15</v>
      </c>
      <c r="I375" t="s">
        <v>30</v>
      </c>
      <c r="J375" t="s">
        <v>1673</v>
      </c>
      <c r="K375" t="s">
        <v>1878</v>
      </c>
      <c r="L375" t="s">
        <v>1889</v>
      </c>
      <c r="M375" t="s">
        <v>32</v>
      </c>
      <c r="N375">
        <f>Main5[[#This Row],[Quantity]]*Main5[[#This Row],[Unit Price]]</f>
        <v>320.92</v>
      </c>
      <c r="O375">
        <f>Main5[[#This Row],[Unit Price]]-Main5[[#This Row],[Unit Price]]*0.2</f>
        <v>256.73599999999999</v>
      </c>
      <c r="P375">
        <f>Main5[[#This Row],[Total Price]]-Main5[[#This Row],[Cost Price]]</f>
        <v>64.184000000000026</v>
      </c>
      <c r="Q375" t="str">
        <f>TEXT(Main5[[#This Row],[Date]],"mmm")</f>
        <v>Dec</v>
      </c>
    </row>
    <row r="376" spans="1:17" x14ac:dyDescent="0.25">
      <c r="A376" t="s">
        <v>189</v>
      </c>
      <c r="B376" t="s">
        <v>1973</v>
      </c>
      <c r="C376" t="s">
        <v>190</v>
      </c>
      <c r="D376" t="s">
        <v>28</v>
      </c>
      <c r="E376" t="s">
        <v>1891</v>
      </c>
      <c r="F376" t="s">
        <v>1974</v>
      </c>
      <c r="G376" t="s">
        <v>191</v>
      </c>
      <c r="H376" t="s">
        <v>7</v>
      </c>
      <c r="I376" t="s">
        <v>30</v>
      </c>
      <c r="J376" t="s">
        <v>192</v>
      </c>
      <c r="K376" t="s">
        <v>1891</v>
      </c>
      <c r="L376" t="s">
        <v>1881</v>
      </c>
      <c r="M376" t="s">
        <v>32</v>
      </c>
      <c r="N376">
        <f>Main5[[#This Row],[Quantity]]*Main5[[#This Row],[Unit Price]]</f>
        <v>317.25</v>
      </c>
      <c r="O376">
        <f>Main5[[#This Row],[Unit Price]]-Main5[[#This Row],[Unit Price]]*0.2</f>
        <v>253.8</v>
      </c>
      <c r="P376">
        <f>Main5[[#This Row],[Total Price]]-Main5[[#This Row],[Cost Price]]</f>
        <v>63.449999999999989</v>
      </c>
      <c r="Q376" t="str">
        <f>TEXT(Main5[[#This Row],[Date]],"mmm")</f>
        <v>Feb</v>
      </c>
    </row>
    <row r="377" spans="1:17" x14ac:dyDescent="0.25">
      <c r="A377" t="s">
        <v>1608</v>
      </c>
      <c r="B377" t="s">
        <v>2673</v>
      </c>
      <c r="C377" t="s">
        <v>1609</v>
      </c>
      <c r="D377" t="s">
        <v>60</v>
      </c>
      <c r="E377" t="s">
        <v>1891</v>
      </c>
      <c r="F377" t="s">
        <v>2674</v>
      </c>
      <c r="G377" t="s">
        <v>1204</v>
      </c>
      <c r="H377" t="s">
        <v>15</v>
      </c>
      <c r="I377" t="s">
        <v>30</v>
      </c>
      <c r="J377" t="s">
        <v>1610</v>
      </c>
      <c r="K377" t="s">
        <v>1900</v>
      </c>
      <c r="L377" t="s">
        <v>1906</v>
      </c>
      <c r="M377" t="s">
        <v>63</v>
      </c>
      <c r="N377">
        <f>Main5[[#This Row],[Quantity]]*Main5[[#This Row],[Unit Price]]</f>
        <v>314.38</v>
      </c>
      <c r="O377">
        <f>Main5[[#This Row],[Unit Price]]-Main5[[#This Row],[Unit Price]]*0.2</f>
        <v>251.50399999999999</v>
      </c>
      <c r="P377">
        <f>Main5[[#This Row],[Total Price]]-Main5[[#This Row],[Cost Price]]</f>
        <v>62.876000000000005</v>
      </c>
      <c r="Q377" t="str">
        <f>TEXT(Main5[[#This Row],[Date]],"mmm")</f>
        <v>Feb</v>
      </c>
    </row>
    <row r="378" spans="1:17" x14ac:dyDescent="0.25">
      <c r="A378" t="s">
        <v>1226</v>
      </c>
      <c r="B378" t="s">
        <v>2481</v>
      </c>
      <c r="C378" t="s">
        <v>1227</v>
      </c>
      <c r="D378" t="s">
        <v>60</v>
      </c>
      <c r="E378" t="s">
        <v>1878</v>
      </c>
      <c r="F378" t="s">
        <v>2482</v>
      </c>
      <c r="G378" t="s">
        <v>1043</v>
      </c>
      <c r="H378" t="s">
        <v>22</v>
      </c>
      <c r="I378" t="s">
        <v>8</v>
      </c>
      <c r="J378" t="s">
        <v>1228</v>
      </c>
      <c r="K378" t="s">
        <v>1903</v>
      </c>
      <c r="L378" t="s">
        <v>1881</v>
      </c>
      <c r="M378" t="s">
        <v>32</v>
      </c>
      <c r="N378">
        <f>Main5[[#This Row],[Quantity]]*Main5[[#This Row],[Unit Price]]</f>
        <v>314.05</v>
      </c>
      <c r="O378">
        <f>Main5[[#This Row],[Unit Price]]-Main5[[#This Row],[Unit Price]]*0.2</f>
        <v>50.248000000000005</v>
      </c>
      <c r="P378">
        <f>Main5[[#This Row],[Total Price]]-Main5[[#This Row],[Cost Price]]</f>
        <v>263.80200000000002</v>
      </c>
      <c r="Q378" t="str">
        <f>TEXT(Main5[[#This Row],[Date]],"mmm")</f>
        <v>Jun</v>
      </c>
    </row>
    <row r="379" spans="1:17" x14ac:dyDescent="0.25">
      <c r="A379" t="s">
        <v>105</v>
      </c>
      <c r="B379" t="s">
        <v>1930</v>
      </c>
      <c r="C379" t="s">
        <v>106</v>
      </c>
      <c r="D379" t="s">
        <v>28</v>
      </c>
      <c r="E379" t="s">
        <v>1878</v>
      </c>
      <c r="F379" t="s">
        <v>1931</v>
      </c>
      <c r="G379" t="s">
        <v>107</v>
      </c>
      <c r="H379" t="s">
        <v>52</v>
      </c>
      <c r="I379" t="s">
        <v>75</v>
      </c>
      <c r="J379" t="s">
        <v>108</v>
      </c>
      <c r="K379" t="s">
        <v>1903</v>
      </c>
      <c r="L379" t="s">
        <v>1911</v>
      </c>
      <c r="M379" t="s">
        <v>10</v>
      </c>
      <c r="N379">
        <f>Main5[[#This Row],[Quantity]]*Main5[[#This Row],[Unit Price]]</f>
        <v>312.55</v>
      </c>
      <c r="O379">
        <f>Main5[[#This Row],[Unit Price]]-Main5[[#This Row],[Unit Price]]*0.2</f>
        <v>50.007999999999996</v>
      </c>
      <c r="P379">
        <f>Main5[[#This Row],[Total Price]]-Main5[[#This Row],[Cost Price]]</f>
        <v>262.54200000000003</v>
      </c>
      <c r="Q379" t="str">
        <f>TEXT(Main5[[#This Row],[Date]],"mmm")</f>
        <v>May</v>
      </c>
    </row>
    <row r="380" spans="1:17" x14ac:dyDescent="0.25">
      <c r="A380" t="s">
        <v>1183</v>
      </c>
      <c r="B380" t="s">
        <v>2461</v>
      </c>
      <c r="C380" t="s">
        <v>1184</v>
      </c>
      <c r="D380" t="s">
        <v>35</v>
      </c>
      <c r="E380" t="s">
        <v>1891</v>
      </c>
      <c r="F380" t="s">
        <v>2462</v>
      </c>
      <c r="G380" t="s">
        <v>1185</v>
      </c>
      <c r="H380" t="s">
        <v>15</v>
      </c>
      <c r="I380" t="s">
        <v>23</v>
      </c>
      <c r="J380" t="s">
        <v>1186</v>
      </c>
      <c r="K380" t="s">
        <v>1885</v>
      </c>
      <c r="L380" t="s">
        <v>1906</v>
      </c>
      <c r="M380" t="s">
        <v>32</v>
      </c>
      <c r="N380">
        <f>Main5[[#This Row],[Quantity]]*Main5[[#This Row],[Unit Price]]</f>
        <v>310.93</v>
      </c>
      <c r="O380">
        <f>Main5[[#This Row],[Unit Price]]-Main5[[#This Row],[Unit Price]]*0.2</f>
        <v>248.744</v>
      </c>
      <c r="P380">
        <f>Main5[[#This Row],[Total Price]]-Main5[[#This Row],[Cost Price]]</f>
        <v>62.186000000000007</v>
      </c>
      <c r="Q380" t="str">
        <f>TEXT(Main5[[#This Row],[Date]],"mmm")</f>
        <v>Jan</v>
      </c>
    </row>
    <row r="381" spans="1:17" x14ac:dyDescent="0.25">
      <c r="A381" t="s">
        <v>1837</v>
      </c>
      <c r="B381" t="s">
        <v>2795</v>
      </c>
      <c r="C381" t="s">
        <v>1838</v>
      </c>
      <c r="D381" t="s">
        <v>35</v>
      </c>
      <c r="E381" t="s">
        <v>1894</v>
      </c>
      <c r="F381" t="s">
        <v>2796</v>
      </c>
      <c r="G381" t="s">
        <v>1233</v>
      </c>
      <c r="H381" t="s">
        <v>47</v>
      </c>
      <c r="I381" t="s">
        <v>30</v>
      </c>
      <c r="J381" t="s">
        <v>1839</v>
      </c>
      <c r="K381" t="s">
        <v>1880</v>
      </c>
      <c r="L381" t="s">
        <v>1881</v>
      </c>
      <c r="M381" t="s">
        <v>10</v>
      </c>
      <c r="N381">
        <f>Main5[[#This Row],[Quantity]]*Main5[[#This Row],[Unit Price]]</f>
        <v>309.88</v>
      </c>
      <c r="O381">
        <f>Main5[[#This Row],[Unit Price]]-Main5[[#This Row],[Unit Price]]*0.2</f>
        <v>61.975999999999999</v>
      </c>
      <c r="P381">
        <f>Main5[[#This Row],[Total Price]]-Main5[[#This Row],[Cost Price]]</f>
        <v>247.904</v>
      </c>
      <c r="Q381" t="str">
        <f>TEXT(Main5[[#This Row],[Date]],"mmm")</f>
        <v>Apr</v>
      </c>
    </row>
    <row r="382" spans="1:17" x14ac:dyDescent="0.25">
      <c r="A382" t="s">
        <v>729</v>
      </c>
      <c r="B382" t="s">
        <v>2240</v>
      </c>
      <c r="C382" t="s">
        <v>730</v>
      </c>
      <c r="D382" t="s">
        <v>45</v>
      </c>
      <c r="E382" t="s">
        <v>1878</v>
      </c>
      <c r="F382" t="s">
        <v>2241</v>
      </c>
      <c r="G382" t="s">
        <v>731</v>
      </c>
      <c r="H382" t="s">
        <v>52</v>
      </c>
      <c r="I382" t="s">
        <v>37</v>
      </c>
      <c r="J382" t="s">
        <v>732</v>
      </c>
      <c r="K382" t="s">
        <v>1900</v>
      </c>
      <c r="L382" t="s">
        <v>1881</v>
      </c>
      <c r="M382" t="s">
        <v>25</v>
      </c>
      <c r="N382">
        <f>Main5[[#This Row],[Quantity]]*Main5[[#This Row],[Unit Price]]</f>
        <v>309.85000000000002</v>
      </c>
      <c r="O382">
        <f>Main5[[#This Row],[Unit Price]]-Main5[[#This Row],[Unit Price]]*0.2</f>
        <v>49.576000000000001</v>
      </c>
      <c r="P382">
        <f>Main5[[#This Row],[Total Price]]-Main5[[#This Row],[Cost Price]]</f>
        <v>260.274</v>
      </c>
      <c r="Q382" t="str">
        <f>TEXT(Main5[[#This Row],[Date]],"mmm")</f>
        <v>May</v>
      </c>
    </row>
    <row r="383" spans="1:17" x14ac:dyDescent="0.25">
      <c r="A383" t="s">
        <v>11</v>
      </c>
      <c r="B383" t="s">
        <v>1882</v>
      </c>
      <c r="C383" t="s">
        <v>12</v>
      </c>
      <c r="D383" t="s">
        <v>13</v>
      </c>
      <c r="E383" t="s">
        <v>1883</v>
      </c>
      <c r="F383" t="s">
        <v>1884</v>
      </c>
      <c r="G383" t="s">
        <v>14</v>
      </c>
      <c r="H383" t="s">
        <v>15</v>
      </c>
      <c r="I383" t="s">
        <v>8</v>
      </c>
      <c r="J383" t="s">
        <v>16</v>
      </c>
      <c r="K383" t="s">
        <v>1885</v>
      </c>
      <c r="L383" t="s">
        <v>1881</v>
      </c>
      <c r="M383" t="s">
        <v>17</v>
      </c>
      <c r="N383">
        <f>Main5[[#This Row],[Quantity]]*Main5[[#This Row],[Unit Price]]</f>
        <v>302.7</v>
      </c>
      <c r="O383">
        <f>Main5[[#This Row],[Unit Price]]-Main5[[#This Row],[Unit Price]]*0.2</f>
        <v>121.08</v>
      </c>
      <c r="P383">
        <f>Main5[[#This Row],[Total Price]]-Main5[[#This Row],[Cost Price]]</f>
        <v>181.62</v>
      </c>
      <c r="Q383" t="str">
        <f>TEXT(Main5[[#This Row],[Date]],"mmm")</f>
        <v>Aug</v>
      </c>
    </row>
    <row r="384" spans="1:17" x14ac:dyDescent="0.25">
      <c r="A384" t="s">
        <v>576</v>
      </c>
      <c r="B384" t="s">
        <v>2165</v>
      </c>
      <c r="C384" t="s">
        <v>577</v>
      </c>
      <c r="D384" t="s">
        <v>35</v>
      </c>
      <c r="E384" t="s">
        <v>1891</v>
      </c>
      <c r="F384" t="s">
        <v>2166</v>
      </c>
      <c r="G384" t="s">
        <v>578</v>
      </c>
      <c r="H384" t="s">
        <v>22</v>
      </c>
      <c r="I384" t="s">
        <v>23</v>
      </c>
      <c r="J384" t="s">
        <v>579</v>
      </c>
      <c r="K384" t="s">
        <v>1878</v>
      </c>
      <c r="L384" t="s">
        <v>1911</v>
      </c>
      <c r="M384" t="s">
        <v>25</v>
      </c>
      <c r="N384">
        <f>Main5[[#This Row],[Quantity]]*Main5[[#This Row],[Unit Price]]</f>
        <v>299.35000000000002</v>
      </c>
      <c r="O384">
        <f>Main5[[#This Row],[Unit Price]]-Main5[[#This Row],[Unit Price]]*0.2</f>
        <v>239.48000000000002</v>
      </c>
      <c r="P384">
        <f>Main5[[#This Row],[Total Price]]-Main5[[#This Row],[Cost Price]]</f>
        <v>59.870000000000005</v>
      </c>
      <c r="Q384" t="str">
        <f>TEXT(Main5[[#This Row],[Date]],"mmm")</f>
        <v>Oct</v>
      </c>
    </row>
    <row r="385" spans="1:17" x14ac:dyDescent="0.25">
      <c r="A385" t="s">
        <v>516</v>
      </c>
      <c r="B385" t="s">
        <v>2135</v>
      </c>
      <c r="C385" t="s">
        <v>517</v>
      </c>
      <c r="D385" t="s">
        <v>20</v>
      </c>
      <c r="E385" t="s">
        <v>1891</v>
      </c>
      <c r="F385" t="s">
        <v>2136</v>
      </c>
      <c r="G385" t="s">
        <v>518</v>
      </c>
      <c r="H385" t="s">
        <v>7</v>
      </c>
      <c r="I385" t="s">
        <v>75</v>
      </c>
      <c r="J385" t="s">
        <v>519</v>
      </c>
      <c r="K385" t="s">
        <v>1885</v>
      </c>
      <c r="L385" t="s">
        <v>1911</v>
      </c>
      <c r="M385" t="s">
        <v>63</v>
      </c>
      <c r="N385">
        <f>Main5[[#This Row],[Quantity]]*Main5[[#This Row],[Unit Price]]</f>
        <v>298.06</v>
      </c>
      <c r="O385">
        <f>Main5[[#This Row],[Unit Price]]-Main5[[#This Row],[Unit Price]]*0.2</f>
        <v>238.44800000000001</v>
      </c>
      <c r="P385">
        <f>Main5[[#This Row],[Total Price]]-Main5[[#This Row],[Cost Price]]</f>
        <v>59.611999999999995</v>
      </c>
      <c r="Q385" t="str">
        <f>TEXT(Main5[[#This Row],[Date]],"mmm")</f>
        <v>Dec</v>
      </c>
    </row>
    <row r="386" spans="1:17" x14ac:dyDescent="0.25">
      <c r="A386" t="s">
        <v>129</v>
      </c>
      <c r="B386" t="s">
        <v>1942</v>
      </c>
      <c r="C386" t="s">
        <v>130</v>
      </c>
      <c r="D386" t="s">
        <v>45</v>
      </c>
      <c r="E386" t="s">
        <v>1878</v>
      </c>
      <c r="F386" t="s">
        <v>1943</v>
      </c>
      <c r="G386" t="s">
        <v>131</v>
      </c>
      <c r="H386" t="s">
        <v>15</v>
      </c>
      <c r="I386" t="s">
        <v>37</v>
      </c>
      <c r="J386" t="s">
        <v>132</v>
      </c>
      <c r="K386" t="s">
        <v>1900</v>
      </c>
      <c r="L386" t="s">
        <v>1906</v>
      </c>
      <c r="M386" t="s">
        <v>17</v>
      </c>
      <c r="N386">
        <f>Main5[[#This Row],[Quantity]]*Main5[[#This Row],[Unit Price]]</f>
        <v>297.75</v>
      </c>
      <c r="O386">
        <f>Main5[[#This Row],[Unit Price]]-Main5[[#This Row],[Unit Price]]*0.2</f>
        <v>47.64</v>
      </c>
      <c r="P386">
        <f>Main5[[#This Row],[Total Price]]-Main5[[#This Row],[Cost Price]]</f>
        <v>250.11</v>
      </c>
      <c r="Q386" t="str">
        <f>TEXT(Main5[[#This Row],[Date]],"mmm")</f>
        <v>Mar</v>
      </c>
    </row>
    <row r="387" spans="1:17" x14ac:dyDescent="0.25">
      <c r="A387" t="s">
        <v>605</v>
      </c>
      <c r="B387" t="s">
        <v>2179</v>
      </c>
      <c r="C387" t="s">
        <v>606</v>
      </c>
      <c r="D387" t="s">
        <v>20</v>
      </c>
      <c r="E387" t="s">
        <v>1883</v>
      </c>
      <c r="F387" t="s">
        <v>2180</v>
      </c>
      <c r="G387" t="s">
        <v>607</v>
      </c>
      <c r="H387" t="s">
        <v>22</v>
      </c>
      <c r="I387" t="s">
        <v>37</v>
      </c>
      <c r="J387" t="s">
        <v>608</v>
      </c>
      <c r="K387" t="s">
        <v>1880</v>
      </c>
      <c r="L387" t="s">
        <v>1911</v>
      </c>
      <c r="M387" t="s">
        <v>10</v>
      </c>
      <c r="N387">
        <f>Main5[[#This Row],[Quantity]]*Main5[[#This Row],[Unit Price]]</f>
        <v>296.44</v>
      </c>
      <c r="O387">
        <f>Main5[[#This Row],[Unit Price]]-Main5[[#This Row],[Unit Price]]*0.2</f>
        <v>118.57599999999999</v>
      </c>
      <c r="P387">
        <f>Main5[[#This Row],[Total Price]]-Main5[[#This Row],[Cost Price]]</f>
        <v>177.864</v>
      </c>
      <c r="Q387" t="str">
        <f>TEXT(Main5[[#This Row],[Date]],"mmm")</f>
        <v>Aug</v>
      </c>
    </row>
    <row r="388" spans="1:17" x14ac:dyDescent="0.25">
      <c r="A388" t="s">
        <v>801</v>
      </c>
      <c r="B388" t="s">
        <v>2276</v>
      </c>
      <c r="C388" t="s">
        <v>802</v>
      </c>
      <c r="D388" t="s">
        <v>28</v>
      </c>
      <c r="E388" t="s">
        <v>1883</v>
      </c>
      <c r="F388" t="s">
        <v>2277</v>
      </c>
      <c r="G388" t="s">
        <v>803</v>
      </c>
      <c r="H388" t="s">
        <v>15</v>
      </c>
      <c r="I388" t="s">
        <v>23</v>
      </c>
      <c r="J388" t="s">
        <v>804</v>
      </c>
      <c r="K388" t="s">
        <v>1880</v>
      </c>
      <c r="L388" t="s">
        <v>1889</v>
      </c>
      <c r="M388" t="s">
        <v>63</v>
      </c>
      <c r="N388">
        <f>Main5[[#This Row],[Quantity]]*Main5[[#This Row],[Unit Price]]</f>
        <v>289.32</v>
      </c>
      <c r="O388">
        <f>Main5[[#This Row],[Unit Price]]-Main5[[#This Row],[Unit Price]]*0.2</f>
        <v>115.72799999999999</v>
      </c>
      <c r="P388">
        <f>Main5[[#This Row],[Total Price]]-Main5[[#This Row],[Cost Price]]</f>
        <v>173.59199999999998</v>
      </c>
      <c r="Q388" t="str">
        <f>TEXT(Main5[[#This Row],[Date]],"mmm")</f>
        <v>May</v>
      </c>
    </row>
    <row r="389" spans="1:17" x14ac:dyDescent="0.25">
      <c r="A389" t="s">
        <v>937</v>
      </c>
      <c r="B389" t="s">
        <v>2342</v>
      </c>
      <c r="C389" t="s">
        <v>938</v>
      </c>
      <c r="D389" t="s">
        <v>13</v>
      </c>
      <c r="E389" t="s">
        <v>1891</v>
      </c>
      <c r="F389" t="s">
        <v>2343</v>
      </c>
      <c r="G389" t="s">
        <v>939</v>
      </c>
      <c r="H389" t="s">
        <v>7</v>
      </c>
      <c r="I389" t="s">
        <v>30</v>
      </c>
      <c r="J389" t="s">
        <v>940</v>
      </c>
      <c r="K389" t="s">
        <v>1885</v>
      </c>
      <c r="L389" t="s">
        <v>1889</v>
      </c>
      <c r="M389" t="s">
        <v>32</v>
      </c>
      <c r="N389">
        <f>Main5[[#This Row],[Quantity]]*Main5[[#This Row],[Unit Price]]</f>
        <v>287.45999999999998</v>
      </c>
      <c r="O389">
        <f>Main5[[#This Row],[Unit Price]]-Main5[[#This Row],[Unit Price]]*0.2</f>
        <v>229.96799999999999</v>
      </c>
      <c r="P389">
        <f>Main5[[#This Row],[Total Price]]-Main5[[#This Row],[Cost Price]]</f>
        <v>57.49199999999999</v>
      </c>
      <c r="Q389" t="str">
        <f>TEXT(Main5[[#This Row],[Date]],"mmm")</f>
        <v>Sep</v>
      </c>
    </row>
    <row r="390" spans="1:17" x14ac:dyDescent="0.25">
      <c r="A390" t="s">
        <v>1195</v>
      </c>
      <c r="B390" t="s">
        <v>2467</v>
      </c>
      <c r="C390" t="s">
        <v>1196</v>
      </c>
      <c r="D390" t="s">
        <v>5</v>
      </c>
      <c r="E390" t="s">
        <v>1878</v>
      </c>
      <c r="F390" t="s">
        <v>2468</v>
      </c>
      <c r="G390" t="s">
        <v>1197</v>
      </c>
      <c r="H390" t="s">
        <v>52</v>
      </c>
      <c r="I390" t="s">
        <v>23</v>
      </c>
      <c r="J390" t="s">
        <v>1198</v>
      </c>
      <c r="K390" t="s">
        <v>1954</v>
      </c>
      <c r="L390" t="s">
        <v>1906</v>
      </c>
      <c r="M390" t="s">
        <v>32</v>
      </c>
      <c r="N390">
        <f>Main5[[#This Row],[Quantity]]*Main5[[#This Row],[Unit Price]]</f>
        <v>287.25</v>
      </c>
      <c r="O390">
        <f>Main5[[#This Row],[Unit Price]]-Main5[[#This Row],[Unit Price]]*0.2</f>
        <v>45.96</v>
      </c>
      <c r="P390">
        <f>Main5[[#This Row],[Total Price]]-Main5[[#This Row],[Cost Price]]</f>
        <v>241.29</v>
      </c>
      <c r="Q390" t="str">
        <f>TEXT(Main5[[#This Row],[Date]],"mmm")</f>
        <v>Mar</v>
      </c>
    </row>
    <row r="391" spans="1:17" x14ac:dyDescent="0.25">
      <c r="A391" t="s">
        <v>1308</v>
      </c>
      <c r="B391" t="s">
        <v>2521</v>
      </c>
      <c r="C391" t="s">
        <v>1309</v>
      </c>
      <c r="D391" t="s">
        <v>20</v>
      </c>
      <c r="E391" t="s">
        <v>1885</v>
      </c>
      <c r="F391" t="s">
        <v>2522</v>
      </c>
      <c r="G391" t="s">
        <v>378</v>
      </c>
      <c r="H391" t="s">
        <v>47</v>
      </c>
      <c r="I391" t="s">
        <v>8</v>
      </c>
      <c r="J391" t="s">
        <v>1310</v>
      </c>
      <c r="K391" t="s">
        <v>1888</v>
      </c>
      <c r="L391" t="s">
        <v>1906</v>
      </c>
      <c r="M391" t="s">
        <v>17</v>
      </c>
      <c r="N391">
        <f>Main5[[#This Row],[Quantity]]*Main5[[#This Row],[Unit Price]]</f>
        <v>284.64</v>
      </c>
      <c r="O391">
        <f>Main5[[#This Row],[Unit Price]]-Main5[[#This Row],[Unit Price]]*0.2</f>
        <v>75.903999999999996</v>
      </c>
      <c r="P391">
        <f>Main5[[#This Row],[Total Price]]-Main5[[#This Row],[Cost Price]]</f>
        <v>208.73599999999999</v>
      </c>
      <c r="Q391" t="str">
        <f>TEXT(Main5[[#This Row],[Date]],"mmm")</f>
        <v>Feb</v>
      </c>
    </row>
    <row r="392" spans="1:17" x14ac:dyDescent="0.25">
      <c r="A392" t="s">
        <v>217</v>
      </c>
      <c r="B392" t="s">
        <v>1987</v>
      </c>
      <c r="C392" t="s">
        <v>218</v>
      </c>
      <c r="D392" t="s">
        <v>28</v>
      </c>
      <c r="E392" t="s">
        <v>1891</v>
      </c>
      <c r="F392" t="s">
        <v>1988</v>
      </c>
      <c r="G392" t="s">
        <v>219</v>
      </c>
      <c r="H392" t="s">
        <v>15</v>
      </c>
      <c r="I392" t="s">
        <v>75</v>
      </c>
      <c r="J392" t="s">
        <v>220</v>
      </c>
      <c r="K392" t="s">
        <v>1878</v>
      </c>
      <c r="L392" t="s">
        <v>1911</v>
      </c>
      <c r="M392" t="s">
        <v>25</v>
      </c>
      <c r="N392">
        <f>Main5[[#This Row],[Quantity]]*Main5[[#This Row],[Unit Price]]</f>
        <v>280.25</v>
      </c>
      <c r="O392">
        <f>Main5[[#This Row],[Unit Price]]-Main5[[#This Row],[Unit Price]]*0.2</f>
        <v>224.2</v>
      </c>
      <c r="P392">
        <f>Main5[[#This Row],[Total Price]]-Main5[[#This Row],[Cost Price]]</f>
        <v>56.050000000000011</v>
      </c>
      <c r="Q392" t="str">
        <f>TEXT(Main5[[#This Row],[Date]],"mmm")</f>
        <v>Mar</v>
      </c>
    </row>
    <row r="393" spans="1:17" x14ac:dyDescent="0.25">
      <c r="A393" t="s">
        <v>1174</v>
      </c>
      <c r="B393" t="s">
        <v>2457</v>
      </c>
      <c r="C393" t="s">
        <v>1175</v>
      </c>
      <c r="D393" t="s">
        <v>60</v>
      </c>
      <c r="E393" t="s">
        <v>1883</v>
      </c>
      <c r="F393" t="s">
        <v>2458</v>
      </c>
      <c r="G393" t="s">
        <v>1176</v>
      </c>
      <c r="H393" t="s">
        <v>52</v>
      </c>
      <c r="I393" t="s">
        <v>37</v>
      </c>
      <c r="J393" t="s">
        <v>1177</v>
      </c>
      <c r="K393" t="s">
        <v>1894</v>
      </c>
      <c r="L393" t="s">
        <v>1911</v>
      </c>
      <c r="M393" t="s">
        <v>32</v>
      </c>
      <c r="N393">
        <f>Main5[[#This Row],[Quantity]]*Main5[[#This Row],[Unit Price]]</f>
        <v>279.14</v>
      </c>
      <c r="O393">
        <f>Main5[[#This Row],[Unit Price]]-Main5[[#This Row],[Unit Price]]*0.2</f>
        <v>111.65599999999999</v>
      </c>
      <c r="P393">
        <f>Main5[[#This Row],[Total Price]]-Main5[[#This Row],[Cost Price]]</f>
        <v>167.48399999999998</v>
      </c>
      <c r="Q393" t="str">
        <f>TEXT(Main5[[#This Row],[Date]],"mmm")</f>
        <v>May</v>
      </c>
    </row>
    <row r="394" spans="1:17" x14ac:dyDescent="0.25">
      <c r="A394" t="s">
        <v>933</v>
      </c>
      <c r="B394" t="s">
        <v>2340</v>
      </c>
      <c r="C394" t="s">
        <v>934</v>
      </c>
      <c r="D394" t="s">
        <v>5</v>
      </c>
      <c r="E394" t="s">
        <v>1891</v>
      </c>
      <c r="F394" t="s">
        <v>2341</v>
      </c>
      <c r="G394" t="s">
        <v>935</v>
      </c>
      <c r="H394" t="s">
        <v>47</v>
      </c>
      <c r="I394" t="s">
        <v>23</v>
      </c>
      <c r="J394" t="s">
        <v>936</v>
      </c>
      <c r="K394" t="s">
        <v>1883</v>
      </c>
      <c r="L394" t="s">
        <v>1889</v>
      </c>
      <c r="M394" t="s">
        <v>10</v>
      </c>
      <c r="N394">
        <f>Main5[[#This Row],[Quantity]]*Main5[[#This Row],[Unit Price]]</f>
        <v>278.66000000000003</v>
      </c>
      <c r="O394">
        <f>Main5[[#This Row],[Unit Price]]-Main5[[#This Row],[Unit Price]]*0.2</f>
        <v>222.92800000000003</v>
      </c>
      <c r="P394">
        <f>Main5[[#This Row],[Total Price]]-Main5[[#This Row],[Cost Price]]</f>
        <v>55.731999999999999</v>
      </c>
      <c r="Q394" t="str">
        <f>TEXT(Main5[[#This Row],[Date]],"mmm")</f>
        <v>Jan</v>
      </c>
    </row>
    <row r="395" spans="1:17" x14ac:dyDescent="0.25">
      <c r="A395" t="s">
        <v>1179</v>
      </c>
      <c r="B395" t="s">
        <v>2459</v>
      </c>
      <c r="C395" t="s">
        <v>1180</v>
      </c>
      <c r="D395" t="s">
        <v>45</v>
      </c>
      <c r="E395" t="s">
        <v>1878</v>
      </c>
      <c r="F395" t="s">
        <v>2460</v>
      </c>
      <c r="G395" t="s">
        <v>1181</v>
      </c>
      <c r="H395" t="s">
        <v>15</v>
      </c>
      <c r="I395" t="s">
        <v>23</v>
      </c>
      <c r="J395" t="s">
        <v>1182</v>
      </c>
      <c r="K395" t="s">
        <v>1878</v>
      </c>
      <c r="L395" t="s">
        <v>1906</v>
      </c>
      <c r="M395" t="s">
        <v>63</v>
      </c>
      <c r="N395">
        <f>Main5[[#This Row],[Quantity]]*Main5[[#This Row],[Unit Price]]</f>
        <v>277.04999999999995</v>
      </c>
      <c r="O395">
        <f>Main5[[#This Row],[Unit Price]]-Main5[[#This Row],[Unit Price]]*0.2</f>
        <v>44.327999999999996</v>
      </c>
      <c r="P395">
        <f>Main5[[#This Row],[Total Price]]-Main5[[#This Row],[Cost Price]]</f>
        <v>232.72199999999995</v>
      </c>
      <c r="Q395" t="str">
        <f>TEXT(Main5[[#This Row],[Date]],"mmm")</f>
        <v>Oct</v>
      </c>
    </row>
    <row r="396" spans="1:17" x14ac:dyDescent="0.25">
      <c r="A396" t="s">
        <v>1856</v>
      </c>
      <c r="B396" t="s">
        <v>2805</v>
      </c>
      <c r="C396" t="s">
        <v>1857</v>
      </c>
      <c r="D396" t="s">
        <v>35</v>
      </c>
      <c r="E396" t="s">
        <v>1885</v>
      </c>
      <c r="F396" t="s">
        <v>2806</v>
      </c>
      <c r="G396" t="s">
        <v>942</v>
      </c>
      <c r="H396" t="s">
        <v>7</v>
      </c>
      <c r="I396" t="s">
        <v>30</v>
      </c>
      <c r="J396" t="s">
        <v>1858</v>
      </c>
      <c r="K396" t="s">
        <v>1888</v>
      </c>
      <c r="L396" t="s">
        <v>1889</v>
      </c>
      <c r="M396" t="s">
        <v>17</v>
      </c>
      <c r="N396">
        <f>Main5[[#This Row],[Quantity]]*Main5[[#This Row],[Unit Price]]</f>
        <v>275.21999999999997</v>
      </c>
      <c r="O396">
        <f>Main5[[#This Row],[Unit Price]]-Main5[[#This Row],[Unit Price]]*0.2</f>
        <v>73.391999999999996</v>
      </c>
      <c r="P396">
        <f>Main5[[#This Row],[Total Price]]-Main5[[#This Row],[Cost Price]]</f>
        <v>201.82799999999997</v>
      </c>
      <c r="Q396" t="str">
        <f>TEXT(Main5[[#This Row],[Date]],"mmm")</f>
        <v>Sep</v>
      </c>
    </row>
    <row r="397" spans="1:17" x14ac:dyDescent="0.25">
      <c r="A397" t="s">
        <v>26</v>
      </c>
      <c r="B397" t="s">
        <v>1890</v>
      </c>
      <c r="C397" t="s">
        <v>27</v>
      </c>
      <c r="D397" t="s">
        <v>28</v>
      </c>
      <c r="E397" t="s">
        <v>1891</v>
      </c>
      <c r="F397" t="s">
        <v>1892</v>
      </c>
      <c r="G397" t="s">
        <v>29</v>
      </c>
      <c r="H397" t="s">
        <v>7</v>
      </c>
      <c r="I397" t="s">
        <v>30</v>
      </c>
      <c r="J397" t="s">
        <v>31</v>
      </c>
      <c r="K397" t="s">
        <v>1878</v>
      </c>
      <c r="L397" t="s">
        <v>1881</v>
      </c>
      <c r="M397" t="s">
        <v>32</v>
      </c>
      <c r="N397">
        <f>Main5[[#This Row],[Quantity]]*Main5[[#This Row],[Unit Price]]</f>
        <v>273.19</v>
      </c>
      <c r="O397">
        <f>Main5[[#This Row],[Unit Price]]-Main5[[#This Row],[Unit Price]]*0.2</f>
        <v>218.55199999999999</v>
      </c>
      <c r="P397">
        <f>Main5[[#This Row],[Total Price]]-Main5[[#This Row],[Cost Price]]</f>
        <v>54.638000000000005</v>
      </c>
      <c r="Q397" t="str">
        <f>TEXT(Main5[[#This Row],[Date]],"mmm")</f>
        <v>Oct</v>
      </c>
    </row>
    <row r="398" spans="1:17" x14ac:dyDescent="0.25">
      <c r="A398" t="s">
        <v>1133</v>
      </c>
      <c r="B398" t="s">
        <v>2436</v>
      </c>
      <c r="C398" t="s">
        <v>1134</v>
      </c>
      <c r="D398" t="s">
        <v>13</v>
      </c>
      <c r="E398" t="s">
        <v>1878</v>
      </c>
      <c r="F398" t="s">
        <v>2437</v>
      </c>
      <c r="G398" t="s">
        <v>703</v>
      </c>
      <c r="H398" t="s">
        <v>47</v>
      </c>
      <c r="I398" t="s">
        <v>8</v>
      </c>
      <c r="J398" t="s">
        <v>1135</v>
      </c>
      <c r="K398" t="s">
        <v>1880</v>
      </c>
      <c r="L398" t="s">
        <v>1881</v>
      </c>
      <c r="M398" t="s">
        <v>10</v>
      </c>
      <c r="N398">
        <f>Main5[[#This Row],[Quantity]]*Main5[[#This Row],[Unit Price]]</f>
        <v>269.64999999999998</v>
      </c>
      <c r="O398">
        <f>Main5[[#This Row],[Unit Price]]-Main5[[#This Row],[Unit Price]]*0.2</f>
        <v>43.143999999999998</v>
      </c>
      <c r="P398">
        <f>Main5[[#This Row],[Total Price]]-Main5[[#This Row],[Cost Price]]</f>
        <v>226.50599999999997</v>
      </c>
      <c r="Q398" t="str">
        <f>TEXT(Main5[[#This Row],[Date]],"mmm")</f>
        <v>Sep</v>
      </c>
    </row>
    <row r="399" spans="1:17" x14ac:dyDescent="0.25">
      <c r="A399" t="s">
        <v>54</v>
      </c>
      <c r="B399" t="s">
        <v>1904</v>
      </c>
      <c r="C399" t="s">
        <v>55</v>
      </c>
      <c r="D399" t="s">
        <v>13</v>
      </c>
      <c r="E399" t="s">
        <v>1883</v>
      </c>
      <c r="F399" t="s">
        <v>1905</v>
      </c>
      <c r="G399" t="s">
        <v>56</v>
      </c>
      <c r="H399" t="s">
        <v>47</v>
      </c>
      <c r="I399" t="s">
        <v>23</v>
      </c>
      <c r="J399" t="s">
        <v>57</v>
      </c>
      <c r="K399" t="s">
        <v>1883</v>
      </c>
      <c r="L399" t="s">
        <v>1906</v>
      </c>
      <c r="M399" t="s">
        <v>25</v>
      </c>
      <c r="N399">
        <f>Main5[[#This Row],[Quantity]]*Main5[[#This Row],[Unit Price]]</f>
        <v>268.56</v>
      </c>
      <c r="O399">
        <f>Main5[[#This Row],[Unit Price]]-Main5[[#This Row],[Unit Price]]*0.2</f>
        <v>107.42400000000001</v>
      </c>
      <c r="P399">
        <f>Main5[[#This Row],[Total Price]]-Main5[[#This Row],[Cost Price]]</f>
        <v>161.136</v>
      </c>
      <c r="Q399" t="str">
        <f>TEXT(Main5[[#This Row],[Date]],"mmm")</f>
        <v>Apr</v>
      </c>
    </row>
    <row r="400" spans="1:17" x14ac:dyDescent="0.25">
      <c r="A400" t="s">
        <v>655</v>
      </c>
      <c r="B400" t="s">
        <v>2203</v>
      </c>
      <c r="C400" t="s">
        <v>656</v>
      </c>
      <c r="D400" t="s">
        <v>13</v>
      </c>
      <c r="E400" t="s">
        <v>1883</v>
      </c>
      <c r="F400" t="s">
        <v>2204</v>
      </c>
      <c r="G400" t="s">
        <v>657</v>
      </c>
      <c r="H400" t="s">
        <v>52</v>
      </c>
      <c r="I400" t="s">
        <v>75</v>
      </c>
      <c r="J400" t="s">
        <v>658</v>
      </c>
      <c r="K400" t="s">
        <v>1880</v>
      </c>
      <c r="L400" t="s">
        <v>1889</v>
      </c>
      <c r="M400" t="s">
        <v>32</v>
      </c>
      <c r="N400">
        <f>Main5[[#This Row],[Quantity]]*Main5[[#This Row],[Unit Price]]</f>
        <v>267.10000000000002</v>
      </c>
      <c r="O400">
        <f>Main5[[#This Row],[Unit Price]]-Main5[[#This Row],[Unit Price]]*0.2</f>
        <v>106.84</v>
      </c>
      <c r="P400">
        <f>Main5[[#This Row],[Total Price]]-Main5[[#This Row],[Cost Price]]</f>
        <v>160.26000000000002</v>
      </c>
      <c r="Q400" t="str">
        <f>TEXT(Main5[[#This Row],[Date]],"mmm")</f>
        <v>Dec</v>
      </c>
    </row>
    <row r="401" spans="1:17" x14ac:dyDescent="0.25">
      <c r="A401" t="s">
        <v>712</v>
      </c>
      <c r="B401" t="s">
        <v>2231</v>
      </c>
      <c r="C401" t="s">
        <v>713</v>
      </c>
      <c r="D401" t="s">
        <v>5</v>
      </c>
      <c r="E401" t="s">
        <v>1891</v>
      </c>
      <c r="F401" t="s">
        <v>2232</v>
      </c>
      <c r="G401" t="s">
        <v>714</v>
      </c>
      <c r="H401" t="s">
        <v>22</v>
      </c>
      <c r="I401" t="s">
        <v>23</v>
      </c>
      <c r="J401" t="s">
        <v>715</v>
      </c>
      <c r="K401" t="s">
        <v>1900</v>
      </c>
      <c r="L401" t="s">
        <v>1911</v>
      </c>
      <c r="M401" t="s">
        <v>25</v>
      </c>
      <c r="N401">
        <f>Main5[[#This Row],[Quantity]]*Main5[[#This Row],[Unit Price]]</f>
        <v>265.38</v>
      </c>
      <c r="O401">
        <f>Main5[[#This Row],[Unit Price]]-Main5[[#This Row],[Unit Price]]*0.2</f>
        <v>212.304</v>
      </c>
      <c r="P401">
        <f>Main5[[#This Row],[Total Price]]-Main5[[#This Row],[Cost Price]]</f>
        <v>53.075999999999993</v>
      </c>
      <c r="Q401" t="str">
        <f>TEXT(Main5[[#This Row],[Date]],"mmm")</f>
        <v>Jun</v>
      </c>
    </row>
    <row r="402" spans="1:17" x14ac:dyDescent="0.25">
      <c r="A402" t="s">
        <v>1151</v>
      </c>
      <c r="B402" t="s">
        <v>2445</v>
      </c>
      <c r="C402" t="s">
        <v>1152</v>
      </c>
      <c r="D402" t="s">
        <v>20</v>
      </c>
      <c r="E402" t="s">
        <v>1894</v>
      </c>
      <c r="F402" t="s">
        <v>2446</v>
      </c>
      <c r="G402" t="s">
        <v>654</v>
      </c>
      <c r="H402" t="s">
        <v>52</v>
      </c>
      <c r="I402" t="s">
        <v>30</v>
      </c>
      <c r="J402" t="s">
        <v>1153</v>
      </c>
      <c r="K402" t="s">
        <v>1903</v>
      </c>
      <c r="L402" t="s">
        <v>1911</v>
      </c>
      <c r="M402" t="s">
        <v>63</v>
      </c>
      <c r="N402">
        <f>Main5[[#This Row],[Quantity]]*Main5[[#This Row],[Unit Price]]</f>
        <v>264.39999999999998</v>
      </c>
      <c r="O402">
        <f>Main5[[#This Row],[Unit Price]]-Main5[[#This Row],[Unit Price]]*0.2</f>
        <v>52.879999999999995</v>
      </c>
      <c r="P402">
        <f>Main5[[#This Row],[Total Price]]-Main5[[#This Row],[Cost Price]]</f>
        <v>211.51999999999998</v>
      </c>
      <c r="Q402" t="str">
        <f>TEXT(Main5[[#This Row],[Date]],"mmm")</f>
        <v>Dec</v>
      </c>
    </row>
    <row r="403" spans="1:17" x14ac:dyDescent="0.25">
      <c r="A403" t="s">
        <v>830</v>
      </c>
      <c r="B403" t="s">
        <v>2290</v>
      </c>
      <c r="C403" t="s">
        <v>831</v>
      </c>
      <c r="D403" t="s">
        <v>5</v>
      </c>
      <c r="E403" t="s">
        <v>1891</v>
      </c>
      <c r="F403" t="s">
        <v>2291</v>
      </c>
      <c r="G403" t="s">
        <v>609</v>
      </c>
      <c r="H403" t="s">
        <v>47</v>
      </c>
      <c r="I403" t="s">
        <v>30</v>
      </c>
      <c r="J403" t="s">
        <v>832</v>
      </c>
      <c r="K403" t="s">
        <v>1883</v>
      </c>
      <c r="L403" t="s">
        <v>1881</v>
      </c>
      <c r="M403" t="s">
        <v>63</v>
      </c>
      <c r="N403">
        <f>Main5[[#This Row],[Quantity]]*Main5[[#This Row],[Unit Price]]</f>
        <v>263.95999999999998</v>
      </c>
      <c r="O403">
        <f>Main5[[#This Row],[Unit Price]]-Main5[[#This Row],[Unit Price]]*0.2</f>
        <v>211.16799999999998</v>
      </c>
      <c r="P403">
        <f>Main5[[#This Row],[Total Price]]-Main5[[#This Row],[Cost Price]]</f>
        <v>52.792000000000002</v>
      </c>
      <c r="Q403" t="str">
        <f>TEXT(Main5[[#This Row],[Date]],"mmm")</f>
        <v>May</v>
      </c>
    </row>
    <row r="404" spans="1:17" x14ac:dyDescent="0.25">
      <c r="A404" t="s">
        <v>1534</v>
      </c>
      <c r="B404" t="s">
        <v>2635</v>
      </c>
      <c r="C404" t="s">
        <v>1535</v>
      </c>
      <c r="D404" t="s">
        <v>45</v>
      </c>
      <c r="E404" t="s">
        <v>1894</v>
      </c>
      <c r="F404" t="s">
        <v>2636</v>
      </c>
      <c r="G404" t="s">
        <v>1536</v>
      </c>
      <c r="H404" t="s">
        <v>47</v>
      </c>
      <c r="I404" t="s">
        <v>23</v>
      </c>
      <c r="J404" t="s">
        <v>1537</v>
      </c>
      <c r="K404" t="s">
        <v>1888</v>
      </c>
      <c r="L404" t="s">
        <v>1881</v>
      </c>
      <c r="M404" t="s">
        <v>63</v>
      </c>
      <c r="N404">
        <f>Main5[[#This Row],[Quantity]]*Main5[[#This Row],[Unit Price]]</f>
        <v>258.95999999999998</v>
      </c>
      <c r="O404">
        <f>Main5[[#This Row],[Unit Price]]-Main5[[#This Row],[Unit Price]]*0.2</f>
        <v>51.791999999999994</v>
      </c>
      <c r="P404">
        <f>Main5[[#This Row],[Total Price]]-Main5[[#This Row],[Cost Price]]</f>
        <v>207.16799999999998</v>
      </c>
      <c r="Q404" t="str">
        <f>TEXT(Main5[[#This Row],[Date]],"mmm")</f>
        <v>Apr</v>
      </c>
    </row>
    <row r="405" spans="1:17" x14ac:dyDescent="0.25">
      <c r="A405" t="s">
        <v>1469</v>
      </c>
      <c r="B405" t="s">
        <v>2603</v>
      </c>
      <c r="C405" t="s">
        <v>1470</v>
      </c>
      <c r="D405" t="s">
        <v>60</v>
      </c>
      <c r="E405" t="s">
        <v>1891</v>
      </c>
      <c r="F405" t="s">
        <v>2604</v>
      </c>
      <c r="G405" t="s">
        <v>1471</v>
      </c>
      <c r="H405" t="s">
        <v>7</v>
      </c>
      <c r="I405" t="s">
        <v>23</v>
      </c>
      <c r="J405" t="s">
        <v>1472</v>
      </c>
      <c r="K405" t="s">
        <v>1878</v>
      </c>
      <c r="L405" t="s">
        <v>1906</v>
      </c>
      <c r="M405" t="s">
        <v>17</v>
      </c>
      <c r="N405">
        <f>Main5[[#This Row],[Quantity]]*Main5[[#This Row],[Unit Price]]</f>
        <v>257</v>
      </c>
      <c r="O405">
        <f>Main5[[#This Row],[Unit Price]]-Main5[[#This Row],[Unit Price]]*0.2</f>
        <v>205.6</v>
      </c>
      <c r="P405">
        <f>Main5[[#This Row],[Total Price]]-Main5[[#This Row],[Cost Price]]</f>
        <v>51.400000000000006</v>
      </c>
      <c r="Q405" t="str">
        <f>TEXT(Main5[[#This Row],[Date]],"mmm")</f>
        <v>Feb</v>
      </c>
    </row>
    <row r="406" spans="1:17" x14ac:dyDescent="0.25">
      <c r="A406" t="s">
        <v>1234</v>
      </c>
      <c r="B406" t="s">
        <v>2485</v>
      </c>
      <c r="C406" t="s">
        <v>1235</v>
      </c>
      <c r="D406" t="s">
        <v>13</v>
      </c>
      <c r="E406" t="s">
        <v>1891</v>
      </c>
      <c r="F406" t="s">
        <v>2486</v>
      </c>
      <c r="G406" t="s">
        <v>1236</v>
      </c>
      <c r="H406" t="s">
        <v>15</v>
      </c>
      <c r="I406" t="s">
        <v>23</v>
      </c>
      <c r="J406" t="s">
        <v>1237</v>
      </c>
      <c r="K406" t="s">
        <v>1891</v>
      </c>
      <c r="L406" t="s">
        <v>1906</v>
      </c>
      <c r="M406" t="s">
        <v>17</v>
      </c>
      <c r="N406">
        <f>Main5[[#This Row],[Quantity]]*Main5[[#This Row],[Unit Price]]</f>
        <v>252.68</v>
      </c>
      <c r="O406">
        <f>Main5[[#This Row],[Unit Price]]-Main5[[#This Row],[Unit Price]]*0.2</f>
        <v>202.14400000000001</v>
      </c>
      <c r="P406">
        <f>Main5[[#This Row],[Total Price]]-Main5[[#This Row],[Cost Price]]</f>
        <v>50.536000000000001</v>
      </c>
      <c r="Q406" t="str">
        <f>TEXT(Main5[[#This Row],[Date]],"mmm")</f>
        <v>Mar</v>
      </c>
    </row>
    <row r="407" spans="1:17" x14ac:dyDescent="0.25">
      <c r="A407" t="s">
        <v>679</v>
      </c>
      <c r="B407" t="s">
        <v>2215</v>
      </c>
      <c r="C407" t="s">
        <v>680</v>
      </c>
      <c r="D407" t="s">
        <v>5</v>
      </c>
      <c r="E407" t="s">
        <v>1891</v>
      </c>
      <c r="F407" t="s">
        <v>2216</v>
      </c>
      <c r="G407" t="s">
        <v>681</v>
      </c>
      <c r="H407" t="s">
        <v>52</v>
      </c>
      <c r="I407" t="s">
        <v>8</v>
      </c>
      <c r="J407" t="s">
        <v>682</v>
      </c>
      <c r="K407" t="s">
        <v>1885</v>
      </c>
      <c r="L407" t="s">
        <v>1889</v>
      </c>
      <c r="M407" t="s">
        <v>63</v>
      </c>
      <c r="N407">
        <f>Main5[[#This Row],[Quantity]]*Main5[[#This Row],[Unit Price]]</f>
        <v>249.57</v>
      </c>
      <c r="O407">
        <f>Main5[[#This Row],[Unit Price]]-Main5[[#This Row],[Unit Price]]*0.2</f>
        <v>199.65600000000001</v>
      </c>
      <c r="P407">
        <f>Main5[[#This Row],[Total Price]]-Main5[[#This Row],[Cost Price]]</f>
        <v>49.913999999999987</v>
      </c>
      <c r="Q407" t="str">
        <f>TEXT(Main5[[#This Row],[Date]],"mmm")</f>
        <v>Jun</v>
      </c>
    </row>
    <row r="408" spans="1:17" x14ac:dyDescent="0.25">
      <c r="A408" t="s">
        <v>761</v>
      </c>
      <c r="B408" t="s">
        <v>2256</v>
      </c>
      <c r="C408" t="s">
        <v>762</v>
      </c>
      <c r="D408" t="s">
        <v>60</v>
      </c>
      <c r="E408" t="s">
        <v>1894</v>
      </c>
      <c r="F408" t="s">
        <v>2257</v>
      </c>
      <c r="G408" t="s">
        <v>763</v>
      </c>
      <c r="H408" t="s">
        <v>47</v>
      </c>
      <c r="I408" t="s">
        <v>37</v>
      </c>
      <c r="J408" t="s">
        <v>764</v>
      </c>
      <c r="K408" t="s">
        <v>1900</v>
      </c>
      <c r="L408" t="s">
        <v>1911</v>
      </c>
      <c r="M408" t="s">
        <v>25</v>
      </c>
      <c r="N408">
        <f>Main5[[#This Row],[Quantity]]*Main5[[#This Row],[Unit Price]]</f>
        <v>247.64</v>
      </c>
      <c r="O408">
        <f>Main5[[#This Row],[Unit Price]]-Main5[[#This Row],[Unit Price]]*0.2</f>
        <v>49.527999999999999</v>
      </c>
      <c r="P408">
        <f>Main5[[#This Row],[Total Price]]-Main5[[#This Row],[Cost Price]]</f>
        <v>198.11199999999999</v>
      </c>
      <c r="Q408" t="str">
        <f>TEXT(Main5[[#This Row],[Date]],"mmm")</f>
        <v>Dec</v>
      </c>
    </row>
    <row r="409" spans="1:17" x14ac:dyDescent="0.25">
      <c r="A409" t="s">
        <v>169</v>
      </c>
      <c r="B409" t="s">
        <v>1963</v>
      </c>
      <c r="C409" t="s">
        <v>170</v>
      </c>
      <c r="D409" t="s">
        <v>45</v>
      </c>
      <c r="E409" t="s">
        <v>1891</v>
      </c>
      <c r="F409" t="s">
        <v>1964</v>
      </c>
      <c r="G409" t="s">
        <v>171</v>
      </c>
      <c r="H409" t="s">
        <v>7</v>
      </c>
      <c r="I409" t="s">
        <v>37</v>
      </c>
      <c r="J409" t="s">
        <v>172</v>
      </c>
      <c r="K409" t="s">
        <v>1885</v>
      </c>
      <c r="L409" t="s">
        <v>1881</v>
      </c>
      <c r="M409" t="s">
        <v>63</v>
      </c>
      <c r="N409">
        <f>Main5[[#This Row],[Quantity]]*Main5[[#This Row],[Unit Price]]</f>
        <v>245.89</v>
      </c>
      <c r="O409">
        <f>Main5[[#This Row],[Unit Price]]-Main5[[#This Row],[Unit Price]]*0.2</f>
        <v>196.71199999999999</v>
      </c>
      <c r="P409">
        <f>Main5[[#This Row],[Total Price]]-Main5[[#This Row],[Cost Price]]</f>
        <v>49.177999999999997</v>
      </c>
      <c r="Q409" t="str">
        <f>TEXT(Main5[[#This Row],[Date]],"mmm")</f>
        <v>Dec</v>
      </c>
    </row>
    <row r="410" spans="1:17" x14ac:dyDescent="0.25">
      <c r="A410" t="s">
        <v>411</v>
      </c>
      <c r="B410" t="s">
        <v>2083</v>
      </c>
      <c r="C410" t="s">
        <v>412</v>
      </c>
      <c r="D410" t="s">
        <v>45</v>
      </c>
      <c r="E410" t="s">
        <v>1878</v>
      </c>
      <c r="F410" t="s">
        <v>2084</v>
      </c>
      <c r="G410" t="s">
        <v>413</v>
      </c>
      <c r="H410" t="s">
        <v>47</v>
      </c>
      <c r="I410" t="s">
        <v>37</v>
      </c>
      <c r="J410" t="s">
        <v>414</v>
      </c>
      <c r="K410" t="s">
        <v>1903</v>
      </c>
      <c r="L410" t="s">
        <v>1911</v>
      </c>
      <c r="M410" t="s">
        <v>25</v>
      </c>
      <c r="N410">
        <f>Main5[[#This Row],[Quantity]]*Main5[[#This Row],[Unit Price]]</f>
        <v>241.9</v>
      </c>
      <c r="O410">
        <f>Main5[[#This Row],[Unit Price]]-Main5[[#This Row],[Unit Price]]*0.2</f>
        <v>38.704000000000001</v>
      </c>
      <c r="P410">
        <f>Main5[[#This Row],[Total Price]]-Main5[[#This Row],[Cost Price]]</f>
        <v>203.196</v>
      </c>
      <c r="Q410" t="str">
        <f>TEXT(Main5[[#This Row],[Date]],"mmm")</f>
        <v>Dec</v>
      </c>
    </row>
    <row r="411" spans="1:17" x14ac:dyDescent="0.25">
      <c r="A411" t="s">
        <v>1546</v>
      </c>
      <c r="B411" t="s">
        <v>2641</v>
      </c>
      <c r="C411" t="s">
        <v>1547</v>
      </c>
      <c r="D411" t="s">
        <v>60</v>
      </c>
      <c r="E411" t="s">
        <v>1883</v>
      </c>
      <c r="F411" t="s">
        <v>2642</v>
      </c>
      <c r="G411" t="s">
        <v>1548</v>
      </c>
      <c r="H411" t="s">
        <v>22</v>
      </c>
      <c r="I411" t="s">
        <v>37</v>
      </c>
      <c r="J411" t="s">
        <v>1549</v>
      </c>
      <c r="K411" t="s">
        <v>1883</v>
      </c>
      <c r="L411" t="s">
        <v>1906</v>
      </c>
      <c r="M411" t="s">
        <v>25</v>
      </c>
      <c r="N411">
        <f>Main5[[#This Row],[Quantity]]*Main5[[#This Row],[Unit Price]]</f>
        <v>237.18</v>
      </c>
      <c r="O411">
        <f>Main5[[#This Row],[Unit Price]]-Main5[[#This Row],[Unit Price]]*0.2</f>
        <v>94.872</v>
      </c>
      <c r="P411">
        <f>Main5[[#This Row],[Total Price]]-Main5[[#This Row],[Cost Price]]</f>
        <v>142.30799999999999</v>
      </c>
      <c r="Q411" t="str">
        <f>TEXT(Main5[[#This Row],[Date]],"mmm")</f>
        <v>Mar</v>
      </c>
    </row>
    <row r="412" spans="1:17" x14ac:dyDescent="0.25">
      <c r="A412" t="s">
        <v>1490</v>
      </c>
      <c r="B412" t="s">
        <v>2613</v>
      </c>
      <c r="C412" t="s">
        <v>1491</v>
      </c>
      <c r="D412" t="s">
        <v>60</v>
      </c>
      <c r="E412" t="s">
        <v>1891</v>
      </c>
      <c r="F412" t="s">
        <v>2614</v>
      </c>
      <c r="G412" t="s">
        <v>1492</v>
      </c>
      <c r="H412" t="s">
        <v>7</v>
      </c>
      <c r="I412" t="s">
        <v>8</v>
      </c>
      <c r="J412" t="s">
        <v>1493</v>
      </c>
      <c r="K412" t="s">
        <v>1878</v>
      </c>
      <c r="L412" t="s">
        <v>1889</v>
      </c>
      <c r="M412" t="s">
        <v>25</v>
      </c>
      <c r="N412">
        <f>Main5[[#This Row],[Quantity]]*Main5[[#This Row],[Unit Price]]</f>
        <v>234.37</v>
      </c>
      <c r="O412">
        <f>Main5[[#This Row],[Unit Price]]-Main5[[#This Row],[Unit Price]]*0.2</f>
        <v>187.49600000000001</v>
      </c>
      <c r="P412">
        <f>Main5[[#This Row],[Total Price]]-Main5[[#This Row],[Cost Price]]</f>
        <v>46.873999999999995</v>
      </c>
      <c r="Q412" t="str">
        <f>TEXT(Main5[[#This Row],[Date]],"mmm")</f>
        <v>Feb</v>
      </c>
    </row>
    <row r="413" spans="1:17" x14ac:dyDescent="0.25">
      <c r="A413" t="s">
        <v>809</v>
      </c>
      <c r="B413" t="s">
        <v>2280</v>
      </c>
      <c r="C413" t="s">
        <v>810</v>
      </c>
      <c r="D413" t="s">
        <v>45</v>
      </c>
      <c r="E413" t="s">
        <v>1891</v>
      </c>
      <c r="F413" t="s">
        <v>2281</v>
      </c>
      <c r="G413" t="s">
        <v>811</v>
      </c>
      <c r="H413" t="s">
        <v>15</v>
      </c>
      <c r="I413" t="s">
        <v>30</v>
      </c>
      <c r="J413" t="s">
        <v>812</v>
      </c>
      <c r="K413" t="s">
        <v>1891</v>
      </c>
      <c r="L413" t="s">
        <v>1906</v>
      </c>
      <c r="M413" t="s">
        <v>32</v>
      </c>
      <c r="N413">
        <f>Main5[[#This Row],[Quantity]]*Main5[[#This Row],[Unit Price]]</f>
        <v>223.3</v>
      </c>
      <c r="O413">
        <f>Main5[[#This Row],[Unit Price]]-Main5[[#This Row],[Unit Price]]*0.2</f>
        <v>178.64000000000001</v>
      </c>
      <c r="P413">
        <f>Main5[[#This Row],[Total Price]]-Main5[[#This Row],[Cost Price]]</f>
        <v>44.66</v>
      </c>
      <c r="Q413" t="str">
        <f>TEXT(Main5[[#This Row],[Date]],"mmm")</f>
        <v>Apr</v>
      </c>
    </row>
    <row r="414" spans="1:17" x14ac:dyDescent="0.25">
      <c r="A414" t="s">
        <v>419</v>
      </c>
      <c r="B414" t="s">
        <v>2087</v>
      </c>
      <c r="C414" t="s">
        <v>420</v>
      </c>
      <c r="D414" t="s">
        <v>20</v>
      </c>
      <c r="E414" t="s">
        <v>1891</v>
      </c>
      <c r="F414" t="s">
        <v>2088</v>
      </c>
      <c r="G414" t="s">
        <v>421</v>
      </c>
      <c r="H414" t="s">
        <v>47</v>
      </c>
      <c r="I414" t="s">
        <v>75</v>
      </c>
      <c r="J414" t="s">
        <v>422</v>
      </c>
      <c r="K414" t="s">
        <v>1878</v>
      </c>
      <c r="L414" t="s">
        <v>1889</v>
      </c>
      <c r="M414" t="s">
        <v>10</v>
      </c>
      <c r="N414">
        <f>Main5[[#This Row],[Quantity]]*Main5[[#This Row],[Unit Price]]</f>
        <v>220.77</v>
      </c>
      <c r="O414">
        <f>Main5[[#This Row],[Unit Price]]-Main5[[#This Row],[Unit Price]]*0.2</f>
        <v>176.61600000000001</v>
      </c>
      <c r="P414">
        <f>Main5[[#This Row],[Total Price]]-Main5[[#This Row],[Cost Price]]</f>
        <v>44.153999999999996</v>
      </c>
      <c r="Q414" t="str">
        <f>TEXT(Main5[[#This Row],[Date]],"mmm")</f>
        <v>Apr</v>
      </c>
    </row>
    <row r="415" spans="1:17" x14ac:dyDescent="0.25">
      <c r="A415" t="s">
        <v>548</v>
      </c>
      <c r="B415" t="s">
        <v>2151</v>
      </c>
      <c r="C415" t="s">
        <v>549</v>
      </c>
      <c r="D415" t="s">
        <v>45</v>
      </c>
      <c r="E415" t="s">
        <v>1891</v>
      </c>
      <c r="F415" t="s">
        <v>2152</v>
      </c>
      <c r="G415" t="s">
        <v>550</v>
      </c>
      <c r="H415" t="s">
        <v>7</v>
      </c>
      <c r="I415" t="s">
        <v>37</v>
      </c>
      <c r="J415" t="s">
        <v>551</v>
      </c>
      <c r="K415" t="s">
        <v>1885</v>
      </c>
      <c r="L415" t="s">
        <v>1906</v>
      </c>
      <c r="M415" t="s">
        <v>32</v>
      </c>
      <c r="N415">
        <f>Main5[[#This Row],[Quantity]]*Main5[[#This Row],[Unit Price]]</f>
        <v>217.56</v>
      </c>
      <c r="O415">
        <f>Main5[[#This Row],[Unit Price]]-Main5[[#This Row],[Unit Price]]*0.2</f>
        <v>174.048</v>
      </c>
      <c r="P415">
        <f>Main5[[#This Row],[Total Price]]-Main5[[#This Row],[Cost Price]]</f>
        <v>43.512</v>
      </c>
      <c r="Q415" t="str">
        <f>TEXT(Main5[[#This Row],[Date]],"mmm")</f>
        <v>Dec</v>
      </c>
    </row>
    <row r="416" spans="1:17" x14ac:dyDescent="0.25">
      <c r="A416" t="s">
        <v>1380</v>
      </c>
      <c r="B416" t="s">
        <v>2559</v>
      </c>
      <c r="C416" t="s">
        <v>1381</v>
      </c>
      <c r="D416" t="s">
        <v>20</v>
      </c>
      <c r="E416" t="s">
        <v>1891</v>
      </c>
      <c r="F416" t="s">
        <v>2560</v>
      </c>
      <c r="G416" t="s">
        <v>1259</v>
      </c>
      <c r="H416" t="s">
        <v>47</v>
      </c>
      <c r="I416" t="s">
        <v>30</v>
      </c>
      <c r="J416" t="s">
        <v>1382</v>
      </c>
      <c r="K416" t="s">
        <v>1883</v>
      </c>
      <c r="L416" t="s">
        <v>1911</v>
      </c>
      <c r="M416" t="s">
        <v>63</v>
      </c>
      <c r="N416">
        <f>Main5[[#This Row],[Quantity]]*Main5[[#This Row],[Unit Price]]</f>
        <v>214.08</v>
      </c>
      <c r="O416">
        <f>Main5[[#This Row],[Unit Price]]-Main5[[#This Row],[Unit Price]]*0.2</f>
        <v>171.26400000000001</v>
      </c>
      <c r="P416">
        <f>Main5[[#This Row],[Total Price]]-Main5[[#This Row],[Cost Price]]</f>
        <v>42.816000000000003</v>
      </c>
      <c r="Q416" t="str">
        <f>TEXT(Main5[[#This Row],[Date]],"mmm")</f>
        <v>Nov</v>
      </c>
    </row>
    <row r="417" spans="1:17" x14ac:dyDescent="0.25">
      <c r="A417" t="s">
        <v>552</v>
      </c>
      <c r="B417" t="s">
        <v>2153</v>
      </c>
      <c r="C417" t="s">
        <v>553</v>
      </c>
      <c r="D417" t="s">
        <v>13</v>
      </c>
      <c r="E417" t="s">
        <v>1883</v>
      </c>
      <c r="F417" t="s">
        <v>2154</v>
      </c>
      <c r="G417" t="s">
        <v>554</v>
      </c>
      <c r="H417" t="s">
        <v>7</v>
      </c>
      <c r="I417" t="s">
        <v>30</v>
      </c>
      <c r="J417" t="s">
        <v>555</v>
      </c>
      <c r="K417" t="s">
        <v>1878</v>
      </c>
      <c r="L417" t="s">
        <v>1911</v>
      </c>
      <c r="M417" t="s">
        <v>63</v>
      </c>
      <c r="N417">
        <f>Main5[[#This Row],[Quantity]]*Main5[[#This Row],[Unit Price]]</f>
        <v>211.14</v>
      </c>
      <c r="O417">
        <f>Main5[[#This Row],[Unit Price]]-Main5[[#This Row],[Unit Price]]*0.2</f>
        <v>84.455999999999989</v>
      </c>
      <c r="P417">
        <f>Main5[[#This Row],[Total Price]]-Main5[[#This Row],[Cost Price]]</f>
        <v>126.684</v>
      </c>
      <c r="Q417" t="str">
        <f>TEXT(Main5[[#This Row],[Date]],"mmm")</f>
        <v>Dec</v>
      </c>
    </row>
    <row r="418" spans="1:17" x14ac:dyDescent="0.25">
      <c r="A418" t="s">
        <v>1768</v>
      </c>
      <c r="B418" t="s">
        <v>2757</v>
      </c>
      <c r="C418" t="s">
        <v>1769</v>
      </c>
      <c r="D418" t="s">
        <v>28</v>
      </c>
      <c r="E418" t="s">
        <v>1885</v>
      </c>
      <c r="F418" t="s">
        <v>2758</v>
      </c>
      <c r="G418" t="s">
        <v>1770</v>
      </c>
      <c r="H418" t="s">
        <v>52</v>
      </c>
      <c r="I418" t="s">
        <v>37</v>
      </c>
      <c r="J418" t="s">
        <v>1771</v>
      </c>
      <c r="K418" t="s">
        <v>1880</v>
      </c>
      <c r="L418" t="s">
        <v>1911</v>
      </c>
      <c r="M418" t="s">
        <v>10</v>
      </c>
      <c r="N418">
        <f>Main5[[#This Row],[Quantity]]*Main5[[#This Row],[Unit Price]]</f>
        <v>208.95000000000002</v>
      </c>
      <c r="O418">
        <f>Main5[[#This Row],[Unit Price]]-Main5[[#This Row],[Unit Price]]*0.2</f>
        <v>55.720000000000006</v>
      </c>
      <c r="P418">
        <f>Main5[[#This Row],[Total Price]]-Main5[[#This Row],[Cost Price]]</f>
        <v>153.23000000000002</v>
      </c>
      <c r="Q418" t="str">
        <f>TEXT(Main5[[#This Row],[Date]],"mmm")</f>
        <v>Oct</v>
      </c>
    </row>
    <row r="419" spans="1:17" x14ac:dyDescent="0.25">
      <c r="A419" t="s">
        <v>841</v>
      </c>
      <c r="B419" t="s">
        <v>2296</v>
      </c>
      <c r="C419" t="s">
        <v>842</v>
      </c>
      <c r="D419" t="s">
        <v>20</v>
      </c>
      <c r="E419" t="s">
        <v>1883</v>
      </c>
      <c r="F419" t="s">
        <v>2297</v>
      </c>
      <c r="G419" t="s">
        <v>843</v>
      </c>
      <c r="H419" t="s">
        <v>15</v>
      </c>
      <c r="I419" t="s">
        <v>8</v>
      </c>
      <c r="J419" t="s">
        <v>844</v>
      </c>
      <c r="K419" t="s">
        <v>1883</v>
      </c>
      <c r="L419" t="s">
        <v>1889</v>
      </c>
      <c r="M419" t="s">
        <v>17</v>
      </c>
      <c r="N419">
        <f>Main5[[#This Row],[Quantity]]*Main5[[#This Row],[Unit Price]]</f>
        <v>206.82</v>
      </c>
      <c r="O419">
        <f>Main5[[#This Row],[Unit Price]]-Main5[[#This Row],[Unit Price]]*0.2</f>
        <v>82.727999999999994</v>
      </c>
      <c r="P419">
        <f>Main5[[#This Row],[Total Price]]-Main5[[#This Row],[Cost Price]]</f>
        <v>124.092</v>
      </c>
      <c r="Q419" t="str">
        <f>TEXT(Main5[[#This Row],[Date]],"mmm")</f>
        <v>Feb</v>
      </c>
    </row>
    <row r="420" spans="1:17" x14ac:dyDescent="0.25">
      <c r="A420" t="s">
        <v>379</v>
      </c>
      <c r="B420" t="s">
        <v>2067</v>
      </c>
      <c r="C420" t="s">
        <v>380</v>
      </c>
      <c r="D420" t="s">
        <v>35</v>
      </c>
      <c r="E420" t="s">
        <v>1891</v>
      </c>
      <c r="F420" t="s">
        <v>2068</v>
      </c>
      <c r="G420" t="s">
        <v>381</v>
      </c>
      <c r="H420" t="s">
        <v>7</v>
      </c>
      <c r="I420" t="s">
        <v>23</v>
      </c>
      <c r="J420" t="s">
        <v>382</v>
      </c>
      <c r="K420" t="s">
        <v>1883</v>
      </c>
      <c r="L420" t="s">
        <v>1911</v>
      </c>
      <c r="M420" t="s">
        <v>25</v>
      </c>
      <c r="N420">
        <f>Main5[[#This Row],[Quantity]]*Main5[[#This Row],[Unit Price]]</f>
        <v>201.58</v>
      </c>
      <c r="O420">
        <f>Main5[[#This Row],[Unit Price]]-Main5[[#This Row],[Unit Price]]*0.2</f>
        <v>161.26400000000001</v>
      </c>
      <c r="P420">
        <f>Main5[[#This Row],[Total Price]]-Main5[[#This Row],[Cost Price]]</f>
        <v>40.316000000000003</v>
      </c>
      <c r="Q420" t="str">
        <f>TEXT(Main5[[#This Row],[Date]],"mmm")</f>
        <v>Apr</v>
      </c>
    </row>
    <row r="421" spans="1:17" x14ac:dyDescent="0.25">
      <c r="A421" t="s">
        <v>358</v>
      </c>
      <c r="B421" t="s">
        <v>2057</v>
      </c>
      <c r="C421" t="s">
        <v>359</v>
      </c>
      <c r="D421" t="s">
        <v>35</v>
      </c>
      <c r="E421" t="s">
        <v>1894</v>
      </c>
      <c r="F421" t="s">
        <v>2058</v>
      </c>
      <c r="G421" t="s">
        <v>360</v>
      </c>
      <c r="H421" t="s">
        <v>15</v>
      </c>
      <c r="I421" t="s">
        <v>8</v>
      </c>
      <c r="J421" t="s">
        <v>361</v>
      </c>
      <c r="K421" t="s">
        <v>1880</v>
      </c>
      <c r="L421" t="s">
        <v>1889</v>
      </c>
      <c r="M421" t="s">
        <v>32</v>
      </c>
      <c r="N421">
        <f>Main5[[#This Row],[Quantity]]*Main5[[#This Row],[Unit Price]]</f>
        <v>194.44</v>
      </c>
      <c r="O421">
        <f>Main5[[#This Row],[Unit Price]]-Main5[[#This Row],[Unit Price]]*0.2</f>
        <v>38.887999999999998</v>
      </c>
      <c r="P421">
        <f>Main5[[#This Row],[Total Price]]-Main5[[#This Row],[Cost Price]]</f>
        <v>155.55199999999999</v>
      </c>
      <c r="Q421" t="str">
        <f>TEXT(Main5[[#This Row],[Date]],"mmm")</f>
        <v>Jun</v>
      </c>
    </row>
    <row r="422" spans="1:17" x14ac:dyDescent="0.25">
      <c r="A422" t="s">
        <v>1509</v>
      </c>
      <c r="B422" t="s">
        <v>2623</v>
      </c>
      <c r="C422" t="s">
        <v>1510</v>
      </c>
      <c r="D422" t="s">
        <v>45</v>
      </c>
      <c r="E422" t="s">
        <v>1883</v>
      </c>
      <c r="F422" t="s">
        <v>2624</v>
      </c>
      <c r="G422" t="s">
        <v>1511</v>
      </c>
      <c r="H422" t="s">
        <v>52</v>
      </c>
      <c r="I422" t="s">
        <v>30</v>
      </c>
      <c r="J422" t="s">
        <v>1512</v>
      </c>
      <c r="K422" t="s">
        <v>1885</v>
      </c>
      <c r="L422" t="s">
        <v>1911</v>
      </c>
      <c r="M422" t="s">
        <v>10</v>
      </c>
      <c r="N422">
        <f>Main5[[#This Row],[Quantity]]*Main5[[#This Row],[Unit Price]]</f>
        <v>185.82</v>
      </c>
      <c r="O422">
        <f>Main5[[#This Row],[Unit Price]]-Main5[[#This Row],[Unit Price]]*0.2</f>
        <v>74.328000000000003</v>
      </c>
      <c r="P422">
        <f>Main5[[#This Row],[Total Price]]-Main5[[#This Row],[Cost Price]]</f>
        <v>111.49199999999999</v>
      </c>
      <c r="Q422" t="str">
        <f>TEXT(Main5[[#This Row],[Date]],"mmm")</f>
        <v>Sep</v>
      </c>
    </row>
    <row r="423" spans="1:17" x14ac:dyDescent="0.25">
      <c r="A423" t="s">
        <v>205</v>
      </c>
      <c r="B423" t="s">
        <v>1981</v>
      </c>
      <c r="C423" t="s">
        <v>206</v>
      </c>
      <c r="D423" t="s">
        <v>20</v>
      </c>
      <c r="E423" t="s">
        <v>1891</v>
      </c>
      <c r="F423" t="s">
        <v>1982</v>
      </c>
      <c r="G423" t="s">
        <v>207</v>
      </c>
      <c r="H423" t="s">
        <v>15</v>
      </c>
      <c r="I423" t="s">
        <v>23</v>
      </c>
      <c r="J423" t="s">
        <v>208</v>
      </c>
      <c r="K423" t="s">
        <v>1900</v>
      </c>
      <c r="L423" t="s">
        <v>1889</v>
      </c>
      <c r="M423" t="s">
        <v>10</v>
      </c>
      <c r="N423">
        <f>Main5[[#This Row],[Quantity]]*Main5[[#This Row],[Unit Price]]</f>
        <v>179.22</v>
      </c>
      <c r="O423">
        <f>Main5[[#This Row],[Unit Price]]-Main5[[#This Row],[Unit Price]]*0.2</f>
        <v>143.376</v>
      </c>
      <c r="P423">
        <f>Main5[[#This Row],[Total Price]]-Main5[[#This Row],[Cost Price]]</f>
        <v>35.843999999999994</v>
      </c>
      <c r="Q423" t="str">
        <f>TEXT(Main5[[#This Row],[Date]],"mmm")</f>
        <v>Jul</v>
      </c>
    </row>
    <row r="424" spans="1:17" x14ac:dyDescent="0.25">
      <c r="A424" t="s">
        <v>1498</v>
      </c>
      <c r="B424" t="s">
        <v>2617</v>
      </c>
      <c r="C424" t="s">
        <v>1499</v>
      </c>
      <c r="D424" t="s">
        <v>5</v>
      </c>
      <c r="E424" t="s">
        <v>1891</v>
      </c>
      <c r="F424" t="s">
        <v>2618</v>
      </c>
      <c r="G424" t="s">
        <v>1500</v>
      </c>
      <c r="H424" t="s">
        <v>7</v>
      </c>
      <c r="I424" t="s">
        <v>30</v>
      </c>
      <c r="J424" t="s">
        <v>1501</v>
      </c>
      <c r="K424" t="s">
        <v>1894</v>
      </c>
      <c r="L424" t="s">
        <v>1906</v>
      </c>
      <c r="M424" t="s">
        <v>17</v>
      </c>
      <c r="N424">
        <f>Main5[[#This Row],[Quantity]]*Main5[[#This Row],[Unit Price]]</f>
        <v>176.58</v>
      </c>
      <c r="O424">
        <f>Main5[[#This Row],[Unit Price]]-Main5[[#This Row],[Unit Price]]*0.2</f>
        <v>141.26400000000001</v>
      </c>
      <c r="P424">
        <f>Main5[[#This Row],[Total Price]]-Main5[[#This Row],[Cost Price]]</f>
        <v>35.316000000000003</v>
      </c>
      <c r="Q424" t="str">
        <f>TEXT(Main5[[#This Row],[Date]],"mmm")</f>
        <v>Mar</v>
      </c>
    </row>
    <row r="425" spans="1:17" x14ac:dyDescent="0.25">
      <c r="A425" t="s">
        <v>1561</v>
      </c>
      <c r="B425" t="s">
        <v>2649</v>
      </c>
      <c r="C425" t="s">
        <v>1562</v>
      </c>
      <c r="D425" t="s">
        <v>5</v>
      </c>
      <c r="E425" t="s">
        <v>1894</v>
      </c>
      <c r="F425" t="s">
        <v>2650</v>
      </c>
      <c r="G425" t="s">
        <v>1127</v>
      </c>
      <c r="H425" t="s">
        <v>7</v>
      </c>
      <c r="I425" t="s">
        <v>75</v>
      </c>
      <c r="J425" t="s">
        <v>1563</v>
      </c>
      <c r="K425" t="s">
        <v>1900</v>
      </c>
      <c r="L425" t="s">
        <v>1906</v>
      </c>
      <c r="M425" t="s">
        <v>25</v>
      </c>
      <c r="N425">
        <f>Main5[[#This Row],[Quantity]]*Main5[[#This Row],[Unit Price]]</f>
        <v>176.28</v>
      </c>
      <c r="O425">
        <f>Main5[[#This Row],[Unit Price]]-Main5[[#This Row],[Unit Price]]*0.2</f>
        <v>35.256</v>
      </c>
      <c r="P425">
        <f>Main5[[#This Row],[Total Price]]-Main5[[#This Row],[Cost Price]]</f>
        <v>141.024</v>
      </c>
      <c r="Q425" t="str">
        <f>TEXT(Main5[[#This Row],[Date]],"mmm")</f>
        <v>Jun</v>
      </c>
    </row>
    <row r="426" spans="1:17" x14ac:dyDescent="0.25">
      <c r="A426" t="s">
        <v>1619</v>
      </c>
      <c r="B426" t="s">
        <v>2679</v>
      </c>
      <c r="C426" t="s">
        <v>1620</v>
      </c>
      <c r="D426" t="s">
        <v>28</v>
      </c>
      <c r="E426" t="s">
        <v>1891</v>
      </c>
      <c r="F426" t="s">
        <v>2680</v>
      </c>
      <c r="G426" t="s">
        <v>1621</v>
      </c>
      <c r="H426" t="s">
        <v>22</v>
      </c>
      <c r="I426" t="s">
        <v>75</v>
      </c>
      <c r="J426" t="s">
        <v>1622</v>
      </c>
      <c r="K426" t="s">
        <v>1891</v>
      </c>
      <c r="L426" t="s">
        <v>1881</v>
      </c>
      <c r="M426" t="s">
        <v>10</v>
      </c>
      <c r="N426">
        <f>Main5[[#This Row],[Quantity]]*Main5[[#This Row],[Unit Price]]</f>
        <v>176.1</v>
      </c>
      <c r="O426">
        <f>Main5[[#This Row],[Unit Price]]-Main5[[#This Row],[Unit Price]]*0.2</f>
        <v>140.88</v>
      </c>
      <c r="P426">
        <f>Main5[[#This Row],[Total Price]]-Main5[[#This Row],[Cost Price]]</f>
        <v>35.22</v>
      </c>
      <c r="Q426" t="str">
        <f>TEXT(Main5[[#This Row],[Date]],"mmm")</f>
        <v>Jul</v>
      </c>
    </row>
    <row r="427" spans="1:17" x14ac:dyDescent="0.25">
      <c r="A427" t="s">
        <v>765</v>
      </c>
      <c r="B427" t="s">
        <v>2258</v>
      </c>
      <c r="C427" t="s">
        <v>766</v>
      </c>
      <c r="D427" t="s">
        <v>13</v>
      </c>
      <c r="E427" t="s">
        <v>1894</v>
      </c>
      <c r="F427" t="s">
        <v>2259</v>
      </c>
      <c r="G427" t="s">
        <v>767</v>
      </c>
      <c r="H427" t="s">
        <v>47</v>
      </c>
      <c r="I427" t="s">
        <v>75</v>
      </c>
      <c r="J427" t="s">
        <v>768</v>
      </c>
      <c r="K427" t="s">
        <v>1903</v>
      </c>
      <c r="L427" t="s">
        <v>1889</v>
      </c>
      <c r="M427" t="s">
        <v>10</v>
      </c>
      <c r="N427">
        <f>Main5[[#This Row],[Quantity]]*Main5[[#This Row],[Unit Price]]</f>
        <v>167.6</v>
      </c>
      <c r="O427">
        <f>Main5[[#This Row],[Unit Price]]-Main5[[#This Row],[Unit Price]]*0.2</f>
        <v>33.519999999999996</v>
      </c>
      <c r="P427">
        <f>Main5[[#This Row],[Total Price]]-Main5[[#This Row],[Cost Price]]</f>
        <v>134.07999999999998</v>
      </c>
      <c r="Q427" t="str">
        <f>TEXT(Main5[[#This Row],[Date]],"mmm")</f>
        <v>Nov</v>
      </c>
    </row>
    <row r="428" spans="1:17" x14ac:dyDescent="0.25">
      <c r="A428" t="s">
        <v>1031</v>
      </c>
      <c r="B428" t="s">
        <v>2388</v>
      </c>
      <c r="C428" t="s">
        <v>1032</v>
      </c>
      <c r="D428" t="s">
        <v>20</v>
      </c>
      <c r="E428" t="s">
        <v>1891</v>
      </c>
      <c r="F428" t="s">
        <v>2389</v>
      </c>
      <c r="G428" t="s">
        <v>1033</v>
      </c>
      <c r="H428" t="s">
        <v>47</v>
      </c>
      <c r="I428" t="s">
        <v>8</v>
      </c>
      <c r="J428" t="s">
        <v>1034</v>
      </c>
      <c r="K428" t="s">
        <v>1878</v>
      </c>
      <c r="L428" t="s">
        <v>1911</v>
      </c>
      <c r="M428" t="s">
        <v>25</v>
      </c>
      <c r="N428">
        <f>Main5[[#This Row],[Quantity]]*Main5[[#This Row],[Unit Price]]</f>
        <v>167.15</v>
      </c>
      <c r="O428">
        <f>Main5[[#This Row],[Unit Price]]-Main5[[#This Row],[Unit Price]]*0.2</f>
        <v>133.72</v>
      </c>
      <c r="P428">
        <f>Main5[[#This Row],[Total Price]]-Main5[[#This Row],[Cost Price]]</f>
        <v>33.430000000000007</v>
      </c>
      <c r="Q428" t="str">
        <f>TEXT(Main5[[#This Row],[Date]],"mmm")</f>
        <v>Sep</v>
      </c>
    </row>
    <row r="429" spans="1:17" x14ac:dyDescent="0.25">
      <c r="A429" t="s">
        <v>895</v>
      </c>
      <c r="B429" t="s">
        <v>2322</v>
      </c>
      <c r="C429" t="s">
        <v>896</v>
      </c>
      <c r="D429" t="s">
        <v>28</v>
      </c>
      <c r="E429" t="s">
        <v>1885</v>
      </c>
      <c r="F429" t="s">
        <v>2323</v>
      </c>
      <c r="G429" t="s">
        <v>897</v>
      </c>
      <c r="H429" t="s">
        <v>15</v>
      </c>
      <c r="I429" t="s">
        <v>75</v>
      </c>
      <c r="J429" t="s">
        <v>898</v>
      </c>
      <c r="K429" t="s">
        <v>1880</v>
      </c>
      <c r="L429" t="s">
        <v>1911</v>
      </c>
      <c r="M429" t="s">
        <v>25</v>
      </c>
      <c r="N429">
        <f>Main5[[#This Row],[Quantity]]*Main5[[#This Row],[Unit Price]]</f>
        <v>165.03</v>
      </c>
      <c r="O429">
        <f>Main5[[#This Row],[Unit Price]]-Main5[[#This Row],[Unit Price]]*0.2</f>
        <v>44.007999999999996</v>
      </c>
      <c r="P429">
        <f>Main5[[#This Row],[Total Price]]-Main5[[#This Row],[Cost Price]]</f>
        <v>121.02200000000001</v>
      </c>
      <c r="Q429" t="str">
        <f>TEXT(Main5[[#This Row],[Date]],"mmm")</f>
        <v>Oct</v>
      </c>
    </row>
    <row r="430" spans="1:17" x14ac:dyDescent="0.25">
      <c r="A430" t="s">
        <v>153</v>
      </c>
      <c r="B430" t="s">
        <v>1955</v>
      </c>
      <c r="C430" t="s">
        <v>154</v>
      </c>
      <c r="D430" t="s">
        <v>28</v>
      </c>
      <c r="E430" t="s">
        <v>1891</v>
      </c>
      <c r="F430" t="s">
        <v>1956</v>
      </c>
      <c r="G430" t="s">
        <v>155</v>
      </c>
      <c r="H430" t="s">
        <v>15</v>
      </c>
      <c r="I430" t="s">
        <v>23</v>
      </c>
      <c r="J430" t="s">
        <v>156</v>
      </c>
      <c r="K430" t="s">
        <v>1894</v>
      </c>
      <c r="L430" t="s">
        <v>1911</v>
      </c>
      <c r="M430" t="s">
        <v>32</v>
      </c>
      <c r="N430">
        <f>Main5[[#This Row],[Quantity]]*Main5[[#This Row],[Unit Price]]</f>
        <v>162.77000000000001</v>
      </c>
      <c r="O430">
        <f>Main5[[#This Row],[Unit Price]]-Main5[[#This Row],[Unit Price]]*0.2</f>
        <v>130.21600000000001</v>
      </c>
      <c r="P430">
        <f>Main5[[#This Row],[Total Price]]-Main5[[#This Row],[Cost Price]]</f>
        <v>32.554000000000002</v>
      </c>
      <c r="Q430" t="str">
        <f>TEXT(Main5[[#This Row],[Date]],"mmm")</f>
        <v>Jun</v>
      </c>
    </row>
    <row r="431" spans="1:17" x14ac:dyDescent="0.25">
      <c r="A431" t="s">
        <v>201</v>
      </c>
      <c r="B431" t="s">
        <v>1979</v>
      </c>
      <c r="C431" t="s">
        <v>202</v>
      </c>
      <c r="D431" t="s">
        <v>5</v>
      </c>
      <c r="E431" t="s">
        <v>1883</v>
      </c>
      <c r="F431" t="s">
        <v>1980</v>
      </c>
      <c r="G431" t="s">
        <v>203</v>
      </c>
      <c r="H431" t="s">
        <v>7</v>
      </c>
      <c r="I431" t="s">
        <v>8</v>
      </c>
      <c r="J431" t="s">
        <v>204</v>
      </c>
      <c r="K431" t="s">
        <v>1894</v>
      </c>
      <c r="L431" t="s">
        <v>1906</v>
      </c>
      <c r="M431" t="s">
        <v>63</v>
      </c>
      <c r="N431">
        <f>Main5[[#This Row],[Quantity]]*Main5[[#This Row],[Unit Price]]</f>
        <v>161.54</v>
      </c>
      <c r="O431">
        <f>Main5[[#This Row],[Unit Price]]-Main5[[#This Row],[Unit Price]]*0.2</f>
        <v>64.616</v>
      </c>
      <c r="P431">
        <f>Main5[[#This Row],[Total Price]]-Main5[[#This Row],[Cost Price]]</f>
        <v>96.923999999999992</v>
      </c>
      <c r="Q431" t="str">
        <f>TEXT(Main5[[#This Row],[Date]],"mmm")</f>
        <v>Aug</v>
      </c>
    </row>
    <row r="432" spans="1:17" x14ac:dyDescent="0.25">
      <c r="A432" t="s">
        <v>1345</v>
      </c>
      <c r="B432" t="s">
        <v>2541</v>
      </c>
      <c r="C432" t="s">
        <v>1346</v>
      </c>
      <c r="D432" t="s">
        <v>35</v>
      </c>
      <c r="E432" t="s">
        <v>1878</v>
      </c>
      <c r="F432" t="s">
        <v>2542</v>
      </c>
      <c r="G432" t="s">
        <v>1115</v>
      </c>
      <c r="H432" t="s">
        <v>22</v>
      </c>
      <c r="I432" t="s">
        <v>30</v>
      </c>
      <c r="J432" t="s">
        <v>1347</v>
      </c>
      <c r="K432" t="s">
        <v>1878</v>
      </c>
      <c r="L432" t="s">
        <v>1889</v>
      </c>
      <c r="M432" t="s">
        <v>17</v>
      </c>
      <c r="N432">
        <f>Main5[[#This Row],[Quantity]]*Main5[[#This Row],[Unit Price]]</f>
        <v>159.80000000000001</v>
      </c>
      <c r="O432">
        <f>Main5[[#This Row],[Unit Price]]-Main5[[#This Row],[Unit Price]]*0.2</f>
        <v>25.568000000000001</v>
      </c>
      <c r="P432">
        <f>Main5[[#This Row],[Total Price]]-Main5[[#This Row],[Cost Price]]</f>
        <v>134.232</v>
      </c>
      <c r="Q432" t="str">
        <f>TEXT(Main5[[#This Row],[Date]],"mmm")</f>
        <v>Mar</v>
      </c>
    </row>
    <row r="433" spans="1:17" x14ac:dyDescent="0.25">
      <c r="A433" t="s">
        <v>1478</v>
      </c>
      <c r="B433" t="s">
        <v>2607</v>
      </c>
      <c r="C433" t="s">
        <v>1479</v>
      </c>
      <c r="D433" t="s">
        <v>20</v>
      </c>
      <c r="E433" t="s">
        <v>1891</v>
      </c>
      <c r="F433" t="s">
        <v>2608</v>
      </c>
      <c r="G433" t="s">
        <v>1480</v>
      </c>
      <c r="H433" t="s">
        <v>7</v>
      </c>
      <c r="I433" t="s">
        <v>8</v>
      </c>
      <c r="J433" t="s">
        <v>1481</v>
      </c>
      <c r="K433" t="s">
        <v>1900</v>
      </c>
      <c r="L433" t="s">
        <v>1906</v>
      </c>
      <c r="M433" t="s">
        <v>25</v>
      </c>
      <c r="N433">
        <f>Main5[[#This Row],[Quantity]]*Main5[[#This Row],[Unit Price]]</f>
        <v>155.27000000000001</v>
      </c>
      <c r="O433">
        <f>Main5[[#This Row],[Unit Price]]-Main5[[#This Row],[Unit Price]]*0.2</f>
        <v>124.21600000000001</v>
      </c>
      <c r="P433">
        <f>Main5[[#This Row],[Total Price]]-Main5[[#This Row],[Cost Price]]</f>
        <v>31.054000000000002</v>
      </c>
      <c r="Q433" t="str">
        <f>TEXT(Main5[[#This Row],[Date]],"mmm")</f>
        <v>Jan</v>
      </c>
    </row>
    <row r="434" spans="1:17" x14ac:dyDescent="0.25">
      <c r="A434" t="s">
        <v>165</v>
      </c>
      <c r="B434" t="s">
        <v>1961</v>
      </c>
      <c r="C434" t="s">
        <v>166</v>
      </c>
      <c r="D434" t="s">
        <v>45</v>
      </c>
      <c r="E434" t="s">
        <v>1883</v>
      </c>
      <c r="F434" t="s">
        <v>1962</v>
      </c>
      <c r="G434" t="s">
        <v>167</v>
      </c>
      <c r="H434" t="s">
        <v>52</v>
      </c>
      <c r="I434" t="s">
        <v>30</v>
      </c>
      <c r="J434" t="s">
        <v>168</v>
      </c>
      <c r="K434" t="s">
        <v>1880</v>
      </c>
      <c r="L434" t="s">
        <v>1881</v>
      </c>
      <c r="M434" t="s">
        <v>10</v>
      </c>
      <c r="N434">
        <f>Main5[[#This Row],[Quantity]]*Main5[[#This Row],[Unit Price]]</f>
        <v>153.47999999999999</v>
      </c>
      <c r="O434">
        <f>Main5[[#This Row],[Unit Price]]-Main5[[#This Row],[Unit Price]]*0.2</f>
        <v>61.391999999999996</v>
      </c>
      <c r="P434">
        <f>Main5[[#This Row],[Total Price]]-Main5[[#This Row],[Cost Price]]</f>
        <v>92.087999999999994</v>
      </c>
      <c r="Q434" t="str">
        <f>TEXT(Main5[[#This Row],[Date]],"mmm")</f>
        <v>Oct</v>
      </c>
    </row>
    <row r="435" spans="1:17" x14ac:dyDescent="0.25">
      <c r="A435" t="s">
        <v>991</v>
      </c>
      <c r="B435" t="s">
        <v>2368</v>
      </c>
      <c r="C435" t="s">
        <v>992</v>
      </c>
      <c r="D435" t="s">
        <v>45</v>
      </c>
      <c r="E435" t="s">
        <v>1891</v>
      </c>
      <c r="F435" t="s">
        <v>2369</v>
      </c>
      <c r="G435" t="s">
        <v>993</v>
      </c>
      <c r="H435" t="s">
        <v>7</v>
      </c>
      <c r="I435" t="s">
        <v>30</v>
      </c>
      <c r="J435" t="s">
        <v>994</v>
      </c>
      <c r="K435" t="s">
        <v>1891</v>
      </c>
      <c r="L435" t="s">
        <v>1881</v>
      </c>
      <c r="M435" t="s">
        <v>17</v>
      </c>
      <c r="N435">
        <f>Main5[[#This Row],[Quantity]]*Main5[[#This Row],[Unit Price]]</f>
        <v>150.16999999999999</v>
      </c>
      <c r="O435">
        <f>Main5[[#This Row],[Unit Price]]-Main5[[#This Row],[Unit Price]]*0.2</f>
        <v>120.136</v>
      </c>
      <c r="P435">
        <f>Main5[[#This Row],[Total Price]]-Main5[[#This Row],[Cost Price]]</f>
        <v>30.033999999999992</v>
      </c>
      <c r="Q435" t="str">
        <f>TEXT(Main5[[#This Row],[Date]],"mmm")</f>
        <v>Jan</v>
      </c>
    </row>
    <row r="436" spans="1:17" x14ac:dyDescent="0.25">
      <c r="A436" t="s">
        <v>68</v>
      </c>
      <c r="B436" t="s">
        <v>1912</v>
      </c>
      <c r="C436" t="s">
        <v>69</v>
      </c>
      <c r="D436" t="s">
        <v>5</v>
      </c>
      <c r="E436" t="s">
        <v>1885</v>
      </c>
      <c r="F436" t="s">
        <v>1913</v>
      </c>
      <c r="G436" t="s">
        <v>70</v>
      </c>
      <c r="H436" t="s">
        <v>15</v>
      </c>
      <c r="I436" t="s">
        <v>30</v>
      </c>
      <c r="J436" t="s">
        <v>71</v>
      </c>
      <c r="K436" t="s">
        <v>1880</v>
      </c>
      <c r="L436" t="s">
        <v>1881</v>
      </c>
      <c r="M436" t="s">
        <v>25</v>
      </c>
      <c r="N436">
        <f>Main5[[#This Row],[Quantity]]*Main5[[#This Row],[Unit Price]]</f>
        <v>147.42000000000002</v>
      </c>
      <c r="O436">
        <f>Main5[[#This Row],[Unit Price]]-Main5[[#This Row],[Unit Price]]*0.2</f>
        <v>39.311999999999998</v>
      </c>
      <c r="P436">
        <f>Main5[[#This Row],[Total Price]]-Main5[[#This Row],[Cost Price]]</f>
        <v>108.10800000000002</v>
      </c>
      <c r="Q436" t="str">
        <f>TEXT(Main5[[#This Row],[Date]],"mmm")</f>
        <v>Feb</v>
      </c>
    </row>
    <row r="437" spans="1:17" x14ac:dyDescent="0.25">
      <c r="A437" t="s">
        <v>391</v>
      </c>
      <c r="B437" t="s">
        <v>2073</v>
      </c>
      <c r="C437" t="s">
        <v>392</v>
      </c>
      <c r="D437" t="s">
        <v>45</v>
      </c>
      <c r="E437" t="s">
        <v>1883</v>
      </c>
      <c r="F437" t="s">
        <v>2074</v>
      </c>
      <c r="G437" t="s">
        <v>393</v>
      </c>
      <c r="H437" t="s">
        <v>47</v>
      </c>
      <c r="I437" t="s">
        <v>23</v>
      </c>
      <c r="J437" t="s">
        <v>394</v>
      </c>
      <c r="K437" t="s">
        <v>1885</v>
      </c>
      <c r="L437" t="s">
        <v>1889</v>
      </c>
      <c r="M437" t="s">
        <v>25</v>
      </c>
      <c r="N437">
        <f>Main5[[#This Row],[Quantity]]*Main5[[#This Row],[Unit Price]]</f>
        <v>140.68</v>
      </c>
      <c r="O437">
        <f>Main5[[#This Row],[Unit Price]]-Main5[[#This Row],[Unit Price]]*0.2</f>
        <v>56.272000000000006</v>
      </c>
      <c r="P437">
        <f>Main5[[#This Row],[Total Price]]-Main5[[#This Row],[Cost Price]]</f>
        <v>84.408000000000001</v>
      </c>
      <c r="Q437" t="str">
        <f>TEXT(Main5[[#This Row],[Date]],"mmm")</f>
        <v>Mar</v>
      </c>
    </row>
    <row r="438" spans="1:17" x14ac:dyDescent="0.25">
      <c r="A438" t="s">
        <v>1486</v>
      </c>
      <c r="B438" t="s">
        <v>2611</v>
      </c>
      <c r="C438" t="s">
        <v>1487</v>
      </c>
      <c r="D438" t="s">
        <v>35</v>
      </c>
      <c r="E438" t="s">
        <v>1894</v>
      </c>
      <c r="F438" t="s">
        <v>2612</v>
      </c>
      <c r="G438" t="s">
        <v>1488</v>
      </c>
      <c r="H438" t="s">
        <v>22</v>
      </c>
      <c r="I438" t="s">
        <v>8</v>
      </c>
      <c r="J438" t="s">
        <v>1489</v>
      </c>
      <c r="K438" t="s">
        <v>1888</v>
      </c>
      <c r="L438" t="s">
        <v>1906</v>
      </c>
      <c r="M438" t="s">
        <v>25</v>
      </c>
      <c r="N438">
        <f>Main5[[#This Row],[Quantity]]*Main5[[#This Row],[Unit Price]]</f>
        <v>139.36000000000001</v>
      </c>
      <c r="O438">
        <f>Main5[[#This Row],[Unit Price]]-Main5[[#This Row],[Unit Price]]*0.2</f>
        <v>27.872000000000003</v>
      </c>
      <c r="P438">
        <f>Main5[[#This Row],[Total Price]]-Main5[[#This Row],[Cost Price]]</f>
        <v>111.48800000000001</v>
      </c>
      <c r="Q438" t="str">
        <f>TEXT(Main5[[#This Row],[Date]],"mmm")</f>
        <v>Sep</v>
      </c>
    </row>
    <row r="439" spans="1:17" x14ac:dyDescent="0.25">
      <c r="A439" t="s">
        <v>504</v>
      </c>
      <c r="B439" t="s">
        <v>2129</v>
      </c>
      <c r="C439" t="s">
        <v>505</v>
      </c>
      <c r="D439" t="s">
        <v>35</v>
      </c>
      <c r="E439" t="s">
        <v>1883</v>
      </c>
      <c r="F439" t="s">
        <v>2130</v>
      </c>
      <c r="G439" t="s">
        <v>506</v>
      </c>
      <c r="H439" t="s">
        <v>47</v>
      </c>
      <c r="I439" t="s">
        <v>8</v>
      </c>
      <c r="J439" t="s">
        <v>507</v>
      </c>
      <c r="K439" t="s">
        <v>1878</v>
      </c>
      <c r="L439" t="s">
        <v>1881</v>
      </c>
      <c r="M439" t="s">
        <v>17</v>
      </c>
      <c r="N439">
        <f>Main5[[#This Row],[Quantity]]*Main5[[#This Row],[Unit Price]]</f>
        <v>137.62</v>
      </c>
      <c r="O439">
        <f>Main5[[#This Row],[Unit Price]]-Main5[[#This Row],[Unit Price]]*0.2</f>
        <v>55.048000000000002</v>
      </c>
      <c r="P439">
        <f>Main5[[#This Row],[Total Price]]-Main5[[#This Row],[Cost Price]]</f>
        <v>82.572000000000003</v>
      </c>
      <c r="Q439" t="str">
        <f>TEXT(Main5[[#This Row],[Date]],"mmm")</f>
        <v>Aug</v>
      </c>
    </row>
    <row r="440" spans="1:17" x14ac:dyDescent="0.25">
      <c r="A440" t="s">
        <v>1365</v>
      </c>
      <c r="B440" t="s">
        <v>2551</v>
      </c>
      <c r="C440" t="s">
        <v>1366</v>
      </c>
      <c r="D440" t="s">
        <v>45</v>
      </c>
      <c r="E440" t="s">
        <v>1891</v>
      </c>
      <c r="F440" t="s">
        <v>2552</v>
      </c>
      <c r="G440" t="s">
        <v>1367</v>
      </c>
      <c r="H440" t="s">
        <v>7</v>
      </c>
      <c r="I440" t="s">
        <v>30</v>
      </c>
      <c r="J440" t="s">
        <v>1368</v>
      </c>
      <c r="K440" t="s">
        <v>1891</v>
      </c>
      <c r="L440" t="s">
        <v>1881</v>
      </c>
      <c r="M440" t="s">
        <v>17</v>
      </c>
      <c r="N440">
        <f>Main5[[#This Row],[Quantity]]*Main5[[#This Row],[Unit Price]]</f>
        <v>132.68</v>
      </c>
      <c r="O440">
        <f>Main5[[#This Row],[Unit Price]]-Main5[[#This Row],[Unit Price]]*0.2</f>
        <v>106.14400000000001</v>
      </c>
      <c r="P440">
        <f>Main5[[#This Row],[Total Price]]-Main5[[#This Row],[Cost Price]]</f>
        <v>26.536000000000001</v>
      </c>
      <c r="Q440" t="str">
        <f>TEXT(Main5[[#This Row],[Date]],"mmm")</f>
        <v>Dec</v>
      </c>
    </row>
    <row r="441" spans="1:17" x14ac:dyDescent="0.25">
      <c r="A441" t="s">
        <v>883</v>
      </c>
      <c r="B441" t="s">
        <v>2316</v>
      </c>
      <c r="C441" t="s">
        <v>884</v>
      </c>
      <c r="D441" t="s">
        <v>28</v>
      </c>
      <c r="E441" t="s">
        <v>1883</v>
      </c>
      <c r="F441" t="s">
        <v>2317</v>
      </c>
      <c r="G441" t="s">
        <v>885</v>
      </c>
      <c r="H441" t="s">
        <v>22</v>
      </c>
      <c r="I441" t="s">
        <v>23</v>
      </c>
      <c r="J441" t="s">
        <v>886</v>
      </c>
      <c r="K441" t="s">
        <v>1894</v>
      </c>
      <c r="L441" t="s">
        <v>1881</v>
      </c>
      <c r="M441" t="s">
        <v>63</v>
      </c>
      <c r="N441">
        <f>Main5[[#This Row],[Quantity]]*Main5[[#This Row],[Unit Price]]</f>
        <v>130.13999999999999</v>
      </c>
      <c r="O441">
        <f>Main5[[#This Row],[Unit Price]]-Main5[[#This Row],[Unit Price]]*0.2</f>
        <v>52.055999999999997</v>
      </c>
      <c r="P441">
        <f>Main5[[#This Row],[Total Price]]-Main5[[#This Row],[Cost Price]]</f>
        <v>78.083999999999989</v>
      </c>
      <c r="Q441" t="str">
        <f>TEXT(Main5[[#This Row],[Date]],"mmm")</f>
        <v>Nov</v>
      </c>
    </row>
    <row r="442" spans="1:17" x14ac:dyDescent="0.25">
      <c r="A442" t="s">
        <v>1859</v>
      </c>
      <c r="B442" t="s">
        <v>2807</v>
      </c>
      <c r="C442" t="s">
        <v>1860</v>
      </c>
      <c r="D442" t="s">
        <v>35</v>
      </c>
      <c r="E442" t="s">
        <v>1891</v>
      </c>
      <c r="F442" t="s">
        <v>2808</v>
      </c>
      <c r="G442" t="s">
        <v>1199</v>
      </c>
      <c r="H442" t="s">
        <v>52</v>
      </c>
      <c r="I442" t="s">
        <v>8</v>
      </c>
      <c r="J442" t="s">
        <v>1861</v>
      </c>
      <c r="K442" t="s">
        <v>1885</v>
      </c>
      <c r="L442" t="s">
        <v>1881</v>
      </c>
      <c r="M442" t="s">
        <v>17</v>
      </c>
      <c r="N442">
        <f>Main5[[#This Row],[Quantity]]*Main5[[#This Row],[Unit Price]]</f>
        <v>127.55</v>
      </c>
      <c r="O442">
        <f>Main5[[#This Row],[Unit Price]]-Main5[[#This Row],[Unit Price]]*0.2</f>
        <v>102.03999999999999</v>
      </c>
      <c r="P442">
        <f>Main5[[#This Row],[Total Price]]-Main5[[#This Row],[Cost Price]]</f>
        <v>25.510000000000005</v>
      </c>
      <c r="Q442" t="str">
        <f>TEXT(Main5[[#This Row],[Date]],"mmm")</f>
        <v>Apr</v>
      </c>
    </row>
    <row r="443" spans="1:17" x14ac:dyDescent="0.25">
      <c r="A443" t="s">
        <v>704</v>
      </c>
      <c r="B443" t="s">
        <v>2227</v>
      </c>
      <c r="C443" t="s">
        <v>705</v>
      </c>
      <c r="D443" t="s">
        <v>13</v>
      </c>
      <c r="E443" t="s">
        <v>1891</v>
      </c>
      <c r="F443" t="s">
        <v>2228</v>
      </c>
      <c r="G443" t="s">
        <v>706</v>
      </c>
      <c r="H443" t="s">
        <v>7</v>
      </c>
      <c r="I443" t="s">
        <v>37</v>
      </c>
      <c r="J443" t="s">
        <v>707</v>
      </c>
      <c r="K443" t="s">
        <v>1885</v>
      </c>
      <c r="L443" t="s">
        <v>1906</v>
      </c>
      <c r="M443" t="s">
        <v>63</v>
      </c>
      <c r="N443">
        <f>Main5[[#This Row],[Quantity]]*Main5[[#This Row],[Unit Price]]</f>
        <v>121.96</v>
      </c>
      <c r="O443">
        <f>Main5[[#This Row],[Unit Price]]-Main5[[#This Row],[Unit Price]]*0.2</f>
        <v>97.567999999999998</v>
      </c>
      <c r="P443">
        <f>Main5[[#This Row],[Total Price]]-Main5[[#This Row],[Cost Price]]</f>
        <v>24.391999999999996</v>
      </c>
      <c r="Q443" t="str">
        <f>TEXT(Main5[[#This Row],[Date]],"mmm")</f>
        <v>Mar</v>
      </c>
    </row>
    <row r="444" spans="1:17" x14ac:dyDescent="0.25">
      <c r="A444" t="s">
        <v>1170</v>
      </c>
      <c r="B444" t="s">
        <v>2455</v>
      </c>
      <c r="C444" t="s">
        <v>1171</v>
      </c>
      <c r="D444" t="s">
        <v>20</v>
      </c>
      <c r="E444" t="s">
        <v>1891</v>
      </c>
      <c r="F444" t="s">
        <v>2456</v>
      </c>
      <c r="G444" t="s">
        <v>1172</v>
      </c>
      <c r="H444" t="s">
        <v>15</v>
      </c>
      <c r="I444" t="s">
        <v>37</v>
      </c>
      <c r="J444" t="s">
        <v>1173</v>
      </c>
      <c r="K444" t="s">
        <v>1900</v>
      </c>
      <c r="L444" t="s">
        <v>1881</v>
      </c>
      <c r="M444" t="s">
        <v>25</v>
      </c>
      <c r="N444">
        <f>Main5[[#This Row],[Quantity]]*Main5[[#This Row],[Unit Price]]</f>
        <v>118.8</v>
      </c>
      <c r="O444">
        <f>Main5[[#This Row],[Unit Price]]-Main5[[#This Row],[Unit Price]]*0.2</f>
        <v>95.039999999999992</v>
      </c>
      <c r="P444">
        <f>Main5[[#This Row],[Total Price]]-Main5[[#This Row],[Cost Price]]</f>
        <v>23.760000000000005</v>
      </c>
      <c r="Q444" t="str">
        <f>TEXT(Main5[[#This Row],[Date]],"mmm")</f>
        <v>Oct</v>
      </c>
    </row>
    <row r="445" spans="1:17" x14ac:dyDescent="0.25">
      <c r="A445" t="s">
        <v>947</v>
      </c>
      <c r="B445" t="s">
        <v>2346</v>
      </c>
      <c r="C445" t="s">
        <v>948</v>
      </c>
      <c r="D445" t="s">
        <v>35</v>
      </c>
      <c r="E445" t="s">
        <v>1883</v>
      </c>
      <c r="F445" t="s">
        <v>2347</v>
      </c>
      <c r="G445" t="s">
        <v>949</v>
      </c>
      <c r="H445" t="s">
        <v>7</v>
      </c>
      <c r="I445" t="s">
        <v>30</v>
      </c>
      <c r="J445" t="s">
        <v>950</v>
      </c>
      <c r="K445" t="s">
        <v>1885</v>
      </c>
      <c r="L445" t="s">
        <v>1881</v>
      </c>
      <c r="M445" t="s">
        <v>10</v>
      </c>
      <c r="N445">
        <f>Main5[[#This Row],[Quantity]]*Main5[[#This Row],[Unit Price]]</f>
        <v>114.14</v>
      </c>
      <c r="O445">
        <f>Main5[[#This Row],[Unit Price]]-Main5[[#This Row],[Unit Price]]*0.2</f>
        <v>45.655999999999999</v>
      </c>
      <c r="P445">
        <f>Main5[[#This Row],[Total Price]]-Main5[[#This Row],[Cost Price]]</f>
        <v>68.484000000000009</v>
      </c>
      <c r="Q445" t="str">
        <f>TEXT(Main5[[#This Row],[Date]],"mmm")</f>
        <v>Jun</v>
      </c>
    </row>
    <row r="446" spans="1:17" x14ac:dyDescent="0.25">
      <c r="A446" t="s">
        <v>1222</v>
      </c>
      <c r="B446" t="s">
        <v>2479</v>
      </c>
      <c r="C446" t="s">
        <v>1223</v>
      </c>
      <c r="D446" t="s">
        <v>45</v>
      </c>
      <c r="E446" t="s">
        <v>1891</v>
      </c>
      <c r="F446" t="s">
        <v>2480</v>
      </c>
      <c r="G446" t="s">
        <v>1224</v>
      </c>
      <c r="H446" t="s">
        <v>7</v>
      </c>
      <c r="I446" t="s">
        <v>23</v>
      </c>
      <c r="J446" t="s">
        <v>1225</v>
      </c>
      <c r="K446" t="s">
        <v>1878</v>
      </c>
      <c r="L446" t="s">
        <v>1889</v>
      </c>
      <c r="M446" t="s">
        <v>63</v>
      </c>
      <c r="N446">
        <f>Main5[[#This Row],[Quantity]]*Main5[[#This Row],[Unit Price]]</f>
        <v>109.29</v>
      </c>
      <c r="O446">
        <f>Main5[[#This Row],[Unit Price]]-Main5[[#This Row],[Unit Price]]*0.2</f>
        <v>87.432000000000002</v>
      </c>
      <c r="P446">
        <f>Main5[[#This Row],[Total Price]]-Main5[[#This Row],[Cost Price]]</f>
        <v>21.858000000000004</v>
      </c>
      <c r="Q446" t="str">
        <f>TEXT(Main5[[#This Row],[Date]],"mmm")</f>
        <v>Nov</v>
      </c>
    </row>
    <row r="447" spans="1:17" x14ac:dyDescent="0.25">
      <c r="A447" t="s">
        <v>1054</v>
      </c>
      <c r="B447" t="s">
        <v>2398</v>
      </c>
      <c r="C447" t="s">
        <v>1055</v>
      </c>
      <c r="D447" t="s">
        <v>28</v>
      </c>
      <c r="E447" t="s">
        <v>1883</v>
      </c>
      <c r="F447" t="s">
        <v>2399</v>
      </c>
      <c r="G447" t="s">
        <v>1056</v>
      </c>
      <c r="H447" t="s">
        <v>15</v>
      </c>
      <c r="I447" t="s">
        <v>8</v>
      </c>
      <c r="J447" t="s">
        <v>1057</v>
      </c>
      <c r="K447" t="s">
        <v>1900</v>
      </c>
      <c r="L447" t="s">
        <v>1906</v>
      </c>
      <c r="M447" t="s">
        <v>10</v>
      </c>
      <c r="N447">
        <f>Main5[[#This Row],[Quantity]]*Main5[[#This Row],[Unit Price]]</f>
        <v>108.82</v>
      </c>
      <c r="O447">
        <f>Main5[[#This Row],[Unit Price]]-Main5[[#This Row],[Unit Price]]*0.2</f>
        <v>43.527999999999999</v>
      </c>
      <c r="P447">
        <f>Main5[[#This Row],[Total Price]]-Main5[[#This Row],[Cost Price]]</f>
        <v>65.292000000000002</v>
      </c>
      <c r="Q447" t="str">
        <f>TEXT(Main5[[#This Row],[Date]],"mmm")</f>
        <v>Jun</v>
      </c>
    </row>
    <row r="448" spans="1:17" x14ac:dyDescent="0.25">
      <c r="A448" t="s">
        <v>1264</v>
      </c>
      <c r="B448" t="s">
        <v>2499</v>
      </c>
      <c r="C448" t="s">
        <v>1265</v>
      </c>
      <c r="D448" t="s">
        <v>5</v>
      </c>
      <c r="E448" t="s">
        <v>1894</v>
      </c>
      <c r="F448" t="s">
        <v>2500</v>
      </c>
      <c r="G448" t="s">
        <v>1266</v>
      </c>
      <c r="H448" t="s">
        <v>22</v>
      </c>
      <c r="I448" t="s">
        <v>75</v>
      </c>
      <c r="J448" t="s">
        <v>1267</v>
      </c>
      <c r="K448" t="s">
        <v>1888</v>
      </c>
      <c r="L448" t="s">
        <v>1906</v>
      </c>
      <c r="M448" t="s">
        <v>63</v>
      </c>
      <c r="N448">
        <f>Main5[[#This Row],[Quantity]]*Main5[[#This Row],[Unit Price]]</f>
        <v>101.16</v>
      </c>
      <c r="O448">
        <f>Main5[[#This Row],[Unit Price]]-Main5[[#This Row],[Unit Price]]*0.2</f>
        <v>20.231999999999999</v>
      </c>
      <c r="P448">
        <f>Main5[[#This Row],[Total Price]]-Main5[[#This Row],[Cost Price]]</f>
        <v>80.927999999999997</v>
      </c>
      <c r="Q448" t="str">
        <f>TEXT(Main5[[#This Row],[Date]],"mmm")</f>
        <v>Feb</v>
      </c>
    </row>
    <row r="449" spans="1:17" x14ac:dyDescent="0.25">
      <c r="A449" t="s">
        <v>113</v>
      </c>
      <c r="B449" t="s">
        <v>1934</v>
      </c>
      <c r="C449" t="s">
        <v>114</v>
      </c>
      <c r="D449" t="s">
        <v>5</v>
      </c>
      <c r="E449" t="s">
        <v>1883</v>
      </c>
      <c r="F449" t="s">
        <v>1935</v>
      </c>
      <c r="G449" t="s">
        <v>115</v>
      </c>
      <c r="H449" t="s">
        <v>15</v>
      </c>
      <c r="I449" t="s">
        <v>75</v>
      </c>
      <c r="J449" t="s">
        <v>116</v>
      </c>
      <c r="K449" t="s">
        <v>1883</v>
      </c>
      <c r="L449" t="s">
        <v>1881</v>
      </c>
      <c r="M449" t="s">
        <v>63</v>
      </c>
      <c r="N449">
        <f>Main5[[#This Row],[Quantity]]*Main5[[#This Row],[Unit Price]]</f>
        <v>99.24</v>
      </c>
      <c r="O449">
        <f>Main5[[#This Row],[Unit Price]]-Main5[[#This Row],[Unit Price]]*0.2</f>
        <v>39.695999999999998</v>
      </c>
      <c r="P449">
        <f>Main5[[#This Row],[Total Price]]-Main5[[#This Row],[Cost Price]]</f>
        <v>59.543999999999997</v>
      </c>
      <c r="Q449" t="str">
        <f>TEXT(Main5[[#This Row],[Date]],"mmm")</f>
        <v>Jan</v>
      </c>
    </row>
    <row r="450" spans="1:17" x14ac:dyDescent="0.25">
      <c r="A450" t="s">
        <v>1517</v>
      </c>
      <c r="B450" t="s">
        <v>2627</v>
      </c>
      <c r="C450" t="s">
        <v>1518</v>
      </c>
      <c r="D450" t="s">
        <v>5</v>
      </c>
      <c r="E450" t="s">
        <v>1883</v>
      </c>
      <c r="F450" t="s">
        <v>2628</v>
      </c>
      <c r="G450" t="s">
        <v>1519</v>
      </c>
      <c r="H450" t="s">
        <v>7</v>
      </c>
      <c r="I450" t="s">
        <v>30</v>
      </c>
      <c r="J450" t="s">
        <v>1520</v>
      </c>
      <c r="K450" t="s">
        <v>1880</v>
      </c>
      <c r="L450" t="s">
        <v>1889</v>
      </c>
      <c r="M450" t="s">
        <v>10</v>
      </c>
      <c r="N450">
        <f>Main5[[#This Row],[Quantity]]*Main5[[#This Row],[Unit Price]]</f>
        <v>98.16</v>
      </c>
      <c r="O450">
        <f>Main5[[#This Row],[Unit Price]]-Main5[[#This Row],[Unit Price]]*0.2</f>
        <v>39.263999999999996</v>
      </c>
      <c r="P450">
        <f>Main5[[#This Row],[Total Price]]-Main5[[#This Row],[Cost Price]]</f>
        <v>58.896000000000001</v>
      </c>
      <c r="Q450" t="str">
        <f>TEXT(Main5[[#This Row],[Date]],"mmm")</f>
        <v>Mar</v>
      </c>
    </row>
    <row r="451" spans="1:17" x14ac:dyDescent="0.25">
      <c r="A451" t="s">
        <v>1513</v>
      </c>
      <c r="B451" t="s">
        <v>2625</v>
      </c>
      <c r="C451" t="s">
        <v>1514</v>
      </c>
      <c r="D451" t="s">
        <v>60</v>
      </c>
      <c r="E451" t="s">
        <v>1891</v>
      </c>
      <c r="F451" t="s">
        <v>2626</v>
      </c>
      <c r="G451" t="s">
        <v>1515</v>
      </c>
      <c r="H451" t="s">
        <v>52</v>
      </c>
      <c r="I451" t="s">
        <v>75</v>
      </c>
      <c r="J451" t="s">
        <v>1516</v>
      </c>
      <c r="K451" t="s">
        <v>1885</v>
      </c>
      <c r="L451" t="s">
        <v>1911</v>
      </c>
      <c r="M451" t="s">
        <v>25</v>
      </c>
      <c r="N451">
        <f>Main5[[#This Row],[Quantity]]*Main5[[#This Row],[Unit Price]]</f>
        <v>92.79</v>
      </c>
      <c r="O451">
        <f>Main5[[#This Row],[Unit Price]]-Main5[[#This Row],[Unit Price]]*0.2</f>
        <v>74.231999999999999</v>
      </c>
      <c r="P451">
        <f>Main5[[#This Row],[Total Price]]-Main5[[#This Row],[Cost Price]]</f>
        <v>18.558000000000007</v>
      </c>
      <c r="Q451" t="str">
        <f>TEXT(Main5[[#This Row],[Date]],"mmm")</f>
        <v>Mar</v>
      </c>
    </row>
    <row r="452" spans="1:17" x14ac:dyDescent="0.25">
      <c r="A452" t="s">
        <v>249</v>
      </c>
      <c r="B452" t="s">
        <v>2003</v>
      </c>
      <c r="C452" t="s">
        <v>250</v>
      </c>
      <c r="D452" t="s">
        <v>60</v>
      </c>
      <c r="E452" t="s">
        <v>1883</v>
      </c>
      <c r="F452" t="s">
        <v>2004</v>
      </c>
      <c r="G452" t="s">
        <v>251</v>
      </c>
      <c r="H452" t="s">
        <v>7</v>
      </c>
      <c r="I452" t="s">
        <v>75</v>
      </c>
      <c r="J452" t="s">
        <v>252</v>
      </c>
      <c r="K452" t="s">
        <v>1885</v>
      </c>
      <c r="L452" t="s">
        <v>1911</v>
      </c>
      <c r="M452" t="s">
        <v>25</v>
      </c>
      <c r="N452">
        <f>Main5[[#This Row],[Quantity]]*Main5[[#This Row],[Unit Price]]</f>
        <v>86.3</v>
      </c>
      <c r="O452">
        <f>Main5[[#This Row],[Unit Price]]-Main5[[#This Row],[Unit Price]]*0.2</f>
        <v>34.519999999999996</v>
      </c>
      <c r="P452">
        <f>Main5[[#This Row],[Total Price]]-Main5[[#This Row],[Cost Price]]</f>
        <v>51.78</v>
      </c>
      <c r="Q452" t="str">
        <f>TEXT(Main5[[#This Row],[Date]],"mmm")</f>
        <v>Aug</v>
      </c>
    </row>
    <row r="453" spans="1:17" x14ac:dyDescent="0.25">
      <c r="A453" t="s">
        <v>492</v>
      </c>
      <c r="B453" t="s">
        <v>2123</v>
      </c>
      <c r="C453" t="s">
        <v>493</v>
      </c>
      <c r="D453" t="s">
        <v>20</v>
      </c>
      <c r="E453" t="s">
        <v>1891</v>
      </c>
      <c r="F453" t="s">
        <v>2124</v>
      </c>
      <c r="G453" t="s">
        <v>494</v>
      </c>
      <c r="H453" t="s">
        <v>47</v>
      </c>
      <c r="I453" t="s">
        <v>75</v>
      </c>
      <c r="J453" t="s">
        <v>495</v>
      </c>
      <c r="K453" t="s">
        <v>1878</v>
      </c>
      <c r="L453" t="s">
        <v>1906</v>
      </c>
      <c r="M453" t="s">
        <v>10</v>
      </c>
      <c r="N453">
        <f>Main5[[#This Row],[Quantity]]*Main5[[#This Row],[Unit Price]]</f>
        <v>84.8</v>
      </c>
      <c r="O453">
        <f>Main5[[#This Row],[Unit Price]]-Main5[[#This Row],[Unit Price]]*0.2</f>
        <v>67.84</v>
      </c>
      <c r="P453">
        <f>Main5[[#This Row],[Total Price]]-Main5[[#This Row],[Cost Price]]</f>
        <v>16.959999999999994</v>
      </c>
      <c r="Q453" t="str">
        <f>TEXT(Main5[[#This Row],[Date]],"mmm")</f>
        <v>Jan</v>
      </c>
    </row>
    <row r="454" spans="1:17" x14ac:dyDescent="0.25">
      <c r="A454" t="s">
        <v>1217</v>
      </c>
      <c r="B454" t="s">
        <v>2477</v>
      </c>
      <c r="C454" t="s">
        <v>1218</v>
      </c>
      <c r="D454" t="s">
        <v>35</v>
      </c>
      <c r="E454" t="s">
        <v>1891</v>
      </c>
      <c r="F454" t="s">
        <v>2478</v>
      </c>
      <c r="G454" t="s">
        <v>1219</v>
      </c>
      <c r="H454" t="s">
        <v>52</v>
      </c>
      <c r="I454" t="s">
        <v>75</v>
      </c>
      <c r="J454" t="s">
        <v>1220</v>
      </c>
      <c r="K454" t="s">
        <v>1878</v>
      </c>
      <c r="L454" t="s">
        <v>1881</v>
      </c>
      <c r="M454" t="s">
        <v>63</v>
      </c>
      <c r="N454">
        <f>Main5[[#This Row],[Quantity]]*Main5[[#This Row],[Unit Price]]</f>
        <v>75.78</v>
      </c>
      <c r="O454">
        <f>Main5[[#This Row],[Unit Price]]-Main5[[#This Row],[Unit Price]]*0.2</f>
        <v>60.624000000000002</v>
      </c>
      <c r="P454">
        <f>Main5[[#This Row],[Total Price]]-Main5[[#This Row],[Cost Price]]</f>
        <v>15.155999999999999</v>
      </c>
      <c r="Q454" t="str">
        <f>TEXT(Main5[[#This Row],[Date]],"mmm")</f>
        <v>Jul</v>
      </c>
    </row>
    <row r="455" spans="1:17" x14ac:dyDescent="0.25">
      <c r="A455" t="s">
        <v>1123</v>
      </c>
      <c r="B455" t="s">
        <v>2432</v>
      </c>
      <c r="C455" t="s">
        <v>1124</v>
      </c>
      <c r="D455" t="s">
        <v>35</v>
      </c>
      <c r="E455" t="s">
        <v>1891</v>
      </c>
      <c r="F455" t="s">
        <v>2433</v>
      </c>
      <c r="G455" t="s">
        <v>1125</v>
      </c>
      <c r="H455" t="s">
        <v>22</v>
      </c>
      <c r="I455" t="s">
        <v>30</v>
      </c>
      <c r="J455" t="s">
        <v>1126</v>
      </c>
      <c r="K455" t="s">
        <v>1885</v>
      </c>
      <c r="L455" t="s">
        <v>1906</v>
      </c>
      <c r="M455" t="s">
        <v>63</v>
      </c>
      <c r="N455">
        <f>Main5[[#This Row],[Quantity]]*Main5[[#This Row],[Unit Price]]</f>
        <v>75.010000000000005</v>
      </c>
      <c r="O455">
        <f>Main5[[#This Row],[Unit Price]]-Main5[[#This Row],[Unit Price]]*0.2</f>
        <v>60.008000000000003</v>
      </c>
      <c r="P455">
        <f>Main5[[#This Row],[Total Price]]-Main5[[#This Row],[Cost Price]]</f>
        <v>15.002000000000002</v>
      </c>
      <c r="Q455" t="str">
        <f>TEXT(Main5[[#This Row],[Date]],"mmm")</f>
        <v>Jul</v>
      </c>
    </row>
    <row r="456" spans="1:17" x14ac:dyDescent="0.25">
      <c r="A456" t="s">
        <v>773</v>
      </c>
      <c r="B456" t="s">
        <v>2262</v>
      </c>
      <c r="C456" t="s">
        <v>774</v>
      </c>
      <c r="D456" t="s">
        <v>60</v>
      </c>
      <c r="E456" t="s">
        <v>1891</v>
      </c>
      <c r="F456" t="s">
        <v>2263</v>
      </c>
      <c r="G456" t="s">
        <v>775</v>
      </c>
      <c r="H456" t="s">
        <v>52</v>
      </c>
      <c r="I456" t="s">
        <v>75</v>
      </c>
      <c r="J456" t="s">
        <v>776</v>
      </c>
      <c r="K456" t="s">
        <v>1883</v>
      </c>
      <c r="L456" t="s">
        <v>1911</v>
      </c>
      <c r="M456" t="s">
        <v>63</v>
      </c>
      <c r="N456">
        <f>Main5[[#This Row],[Quantity]]*Main5[[#This Row],[Unit Price]]</f>
        <v>65.45</v>
      </c>
      <c r="O456">
        <f>Main5[[#This Row],[Unit Price]]-Main5[[#This Row],[Unit Price]]*0.2</f>
        <v>52.36</v>
      </c>
      <c r="P456">
        <f>Main5[[#This Row],[Total Price]]-Main5[[#This Row],[Cost Price]]</f>
        <v>13.090000000000003</v>
      </c>
      <c r="Q456" t="str">
        <f>TEXT(Main5[[#This Row],[Date]],"mmm")</f>
        <v>Feb</v>
      </c>
    </row>
    <row r="457" spans="1:17" x14ac:dyDescent="0.25">
      <c r="A457" t="s">
        <v>1058</v>
      </c>
      <c r="B457" t="s">
        <v>2400</v>
      </c>
      <c r="C457" t="s">
        <v>1059</v>
      </c>
      <c r="D457" t="s">
        <v>45</v>
      </c>
      <c r="E457" t="s">
        <v>1891</v>
      </c>
      <c r="F457" t="s">
        <v>2401</v>
      </c>
      <c r="G457" t="s">
        <v>1060</v>
      </c>
      <c r="H457" t="s">
        <v>7</v>
      </c>
      <c r="I457" t="s">
        <v>37</v>
      </c>
      <c r="J457" t="s">
        <v>1061</v>
      </c>
      <c r="K457" t="s">
        <v>1894</v>
      </c>
      <c r="L457" t="s">
        <v>1906</v>
      </c>
      <c r="M457" t="s">
        <v>10</v>
      </c>
      <c r="N457">
        <f>Main5[[#This Row],[Quantity]]*Main5[[#This Row],[Unit Price]]</f>
        <v>64.66</v>
      </c>
      <c r="O457">
        <f>Main5[[#This Row],[Unit Price]]-Main5[[#This Row],[Unit Price]]*0.2</f>
        <v>51.727999999999994</v>
      </c>
      <c r="P457">
        <f>Main5[[#This Row],[Total Price]]-Main5[[#This Row],[Cost Price]]</f>
        <v>12.932000000000002</v>
      </c>
      <c r="Q457" t="str">
        <f>TEXT(Main5[[#This Row],[Date]],"mmm")</f>
        <v>Feb</v>
      </c>
    </row>
    <row r="458" spans="1:17" x14ac:dyDescent="0.25">
      <c r="A458" t="s">
        <v>1442</v>
      </c>
      <c r="B458" t="s">
        <v>2589</v>
      </c>
      <c r="C458" t="s">
        <v>1443</v>
      </c>
      <c r="D458" t="s">
        <v>13</v>
      </c>
      <c r="E458" t="s">
        <v>1885</v>
      </c>
      <c r="F458" t="s">
        <v>2590</v>
      </c>
      <c r="G458" t="s">
        <v>1444</v>
      </c>
      <c r="H458" t="s">
        <v>15</v>
      </c>
      <c r="I458" t="s">
        <v>75</v>
      </c>
      <c r="J458" t="s">
        <v>1445</v>
      </c>
      <c r="K458" t="s">
        <v>1885</v>
      </c>
      <c r="L458" t="s">
        <v>1906</v>
      </c>
      <c r="M458" t="s">
        <v>17</v>
      </c>
      <c r="N458">
        <f>Main5[[#This Row],[Quantity]]*Main5[[#This Row],[Unit Price]]</f>
        <v>59.19</v>
      </c>
      <c r="O458">
        <f>Main5[[#This Row],[Unit Price]]-Main5[[#This Row],[Unit Price]]*0.2</f>
        <v>15.784000000000001</v>
      </c>
      <c r="P458">
        <f>Main5[[#This Row],[Total Price]]-Main5[[#This Row],[Cost Price]]</f>
        <v>43.405999999999999</v>
      </c>
      <c r="Q458" t="str">
        <f>TEXT(Main5[[#This Row],[Date]],"mmm")</f>
        <v>Jul</v>
      </c>
    </row>
    <row r="459" spans="1:17" x14ac:dyDescent="0.25">
      <c r="A459" t="s">
        <v>825</v>
      </c>
      <c r="B459" t="s">
        <v>2288</v>
      </c>
      <c r="C459" t="s">
        <v>826</v>
      </c>
      <c r="D459" t="s">
        <v>5</v>
      </c>
      <c r="E459" t="s">
        <v>1894</v>
      </c>
      <c r="F459" t="s">
        <v>2289</v>
      </c>
      <c r="G459" t="s">
        <v>827</v>
      </c>
      <c r="H459" t="s">
        <v>52</v>
      </c>
      <c r="I459" t="s">
        <v>23</v>
      </c>
      <c r="J459" t="s">
        <v>828</v>
      </c>
      <c r="K459" t="s">
        <v>1903</v>
      </c>
      <c r="L459" t="s">
        <v>1906</v>
      </c>
      <c r="M459" t="s">
        <v>25</v>
      </c>
      <c r="N459">
        <f>Main5[[#This Row],[Quantity]]*Main5[[#This Row],[Unit Price]]</f>
        <v>58.76</v>
      </c>
      <c r="O459">
        <f>Main5[[#This Row],[Unit Price]]-Main5[[#This Row],[Unit Price]]*0.2</f>
        <v>11.751999999999999</v>
      </c>
      <c r="P459">
        <f>Main5[[#This Row],[Total Price]]-Main5[[#This Row],[Cost Price]]</f>
        <v>47.007999999999996</v>
      </c>
      <c r="Q459" t="str">
        <f>TEXT(Main5[[#This Row],[Date]],"mmm")</f>
        <v>May</v>
      </c>
    </row>
    <row r="460" spans="1:17" x14ac:dyDescent="0.25">
      <c r="A460" t="s">
        <v>269</v>
      </c>
      <c r="B460" t="s">
        <v>2013</v>
      </c>
      <c r="C460" t="s">
        <v>270</v>
      </c>
      <c r="D460" t="s">
        <v>35</v>
      </c>
      <c r="E460" t="s">
        <v>1894</v>
      </c>
      <c r="F460" t="s">
        <v>2014</v>
      </c>
      <c r="G460" t="s">
        <v>271</v>
      </c>
      <c r="H460" t="s">
        <v>7</v>
      </c>
      <c r="I460" t="s">
        <v>23</v>
      </c>
      <c r="J460" t="s">
        <v>272</v>
      </c>
      <c r="K460" t="s">
        <v>1888</v>
      </c>
      <c r="L460" t="s">
        <v>1906</v>
      </c>
      <c r="M460" t="s">
        <v>63</v>
      </c>
      <c r="N460">
        <f>Main5[[#This Row],[Quantity]]*Main5[[#This Row],[Unit Price]]</f>
        <v>48.4</v>
      </c>
      <c r="O460">
        <f>Main5[[#This Row],[Unit Price]]-Main5[[#This Row],[Unit Price]]*0.2</f>
        <v>9.68</v>
      </c>
      <c r="P460">
        <f>Main5[[#This Row],[Total Price]]-Main5[[#This Row],[Cost Price]]</f>
        <v>38.72</v>
      </c>
      <c r="Q460" t="str">
        <f>TEXT(Main5[[#This Row],[Date]],"mmm")</f>
        <v>Dec</v>
      </c>
    </row>
    <row r="461" spans="1:17" x14ac:dyDescent="0.25">
      <c r="A461" t="s">
        <v>675</v>
      </c>
      <c r="B461" t="s">
        <v>2213</v>
      </c>
      <c r="C461" t="s">
        <v>676</v>
      </c>
      <c r="D461" t="s">
        <v>35</v>
      </c>
      <c r="E461" t="s">
        <v>1891</v>
      </c>
      <c r="F461" t="s">
        <v>2214</v>
      </c>
      <c r="G461" t="s">
        <v>677</v>
      </c>
      <c r="H461" t="s">
        <v>52</v>
      </c>
      <c r="I461" t="s">
        <v>23</v>
      </c>
      <c r="J461" t="s">
        <v>678</v>
      </c>
      <c r="K461" t="s">
        <v>1900</v>
      </c>
      <c r="L461" t="s">
        <v>1906</v>
      </c>
      <c r="M461" t="s">
        <v>63</v>
      </c>
      <c r="N461">
        <f>Main5[[#This Row],[Quantity]]*Main5[[#This Row],[Unit Price]]</f>
        <v>46.66</v>
      </c>
      <c r="O461">
        <f>Main5[[#This Row],[Unit Price]]-Main5[[#This Row],[Unit Price]]*0.2</f>
        <v>37.327999999999996</v>
      </c>
      <c r="P461">
        <f>Main5[[#This Row],[Total Price]]-Main5[[#This Row],[Cost Price]]</f>
        <v>9.3320000000000007</v>
      </c>
      <c r="Q461" t="str">
        <f>TEXT(Main5[[#This Row],[Date]],"mmm")</f>
        <v>Jul</v>
      </c>
    </row>
    <row r="462" spans="1:17" x14ac:dyDescent="0.25">
      <c r="A462" t="s">
        <v>508</v>
      </c>
      <c r="B462" t="s">
        <v>2131</v>
      </c>
      <c r="C462" t="s">
        <v>509</v>
      </c>
      <c r="D462" t="s">
        <v>45</v>
      </c>
      <c r="E462" t="s">
        <v>1891</v>
      </c>
      <c r="F462" t="s">
        <v>2132</v>
      </c>
      <c r="G462" t="s">
        <v>510</v>
      </c>
      <c r="H462" t="s">
        <v>47</v>
      </c>
      <c r="I462" t="s">
        <v>23</v>
      </c>
      <c r="J462" t="s">
        <v>511</v>
      </c>
      <c r="K462" t="s">
        <v>1891</v>
      </c>
      <c r="L462" t="s">
        <v>1881</v>
      </c>
      <c r="M462" t="s">
        <v>10</v>
      </c>
      <c r="N462">
        <f>Main5[[#This Row],[Quantity]]*Main5[[#This Row],[Unit Price]]</f>
        <v>44.35</v>
      </c>
      <c r="O462">
        <f>Main5[[#This Row],[Unit Price]]-Main5[[#This Row],[Unit Price]]*0.2</f>
        <v>35.480000000000004</v>
      </c>
      <c r="P462">
        <f>Main5[[#This Row],[Total Price]]-Main5[[#This Row],[Cost Price]]</f>
        <v>8.8699999999999974</v>
      </c>
      <c r="Q462" t="str">
        <f>TEXT(Main5[[#This Row],[Date]],"mmm")</f>
        <v>Apr</v>
      </c>
    </row>
    <row r="463" spans="1:17" x14ac:dyDescent="0.25">
      <c r="A463" t="s">
        <v>1612</v>
      </c>
      <c r="B463" t="s">
        <v>2675</v>
      </c>
      <c r="C463" t="s">
        <v>1613</v>
      </c>
      <c r="D463" t="s">
        <v>20</v>
      </c>
      <c r="E463" t="s">
        <v>1891</v>
      </c>
      <c r="F463" t="s">
        <v>2676</v>
      </c>
      <c r="G463" t="s">
        <v>1614</v>
      </c>
      <c r="H463" t="s">
        <v>52</v>
      </c>
      <c r="I463" t="s">
        <v>30</v>
      </c>
      <c r="J463" t="s">
        <v>1615</v>
      </c>
      <c r="K463" t="s">
        <v>1878</v>
      </c>
      <c r="L463" t="s">
        <v>1911</v>
      </c>
      <c r="M463" t="s">
        <v>63</v>
      </c>
      <c r="N463">
        <f>Main5[[#This Row],[Quantity]]*Main5[[#This Row],[Unit Price]]</f>
        <v>21.19</v>
      </c>
      <c r="O463">
        <f>Main5[[#This Row],[Unit Price]]-Main5[[#This Row],[Unit Price]]*0.2</f>
        <v>16.952000000000002</v>
      </c>
      <c r="P463">
        <f>Main5[[#This Row],[Total Price]]-Main5[[#This Row],[Cost Price]]</f>
        <v>4.2379999999999995</v>
      </c>
      <c r="Q463" t="str">
        <f>TEXT(Main5[[#This Row],[Date]],"mmm")</f>
        <v>Aug</v>
      </c>
    </row>
    <row r="464" spans="1:17" x14ac:dyDescent="0.25">
      <c r="A464" t="s">
        <v>789</v>
      </c>
      <c r="B464" t="s">
        <v>2270</v>
      </c>
      <c r="C464" t="s">
        <v>790</v>
      </c>
      <c r="D464" t="s">
        <v>20</v>
      </c>
      <c r="E464" t="s">
        <v>1891</v>
      </c>
      <c r="F464" t="s">
        <v>2271</v>
      </c>
      <c r="G464" t="s">
        <v>791</v>
      </c>
      <c r="H464" t="s">
        <v>15</v>
      </c>
      <c r="I464" t="s">
        <v>75</v>
      </c>
      <c r="J464" t="s">
        <v>792</v>
      </c>
      <c r="K464" t="s">
        <v>1883</v>
      </c>
      <c r="L464" t="s">
        <v>1889</v>
      </c>
      <c r="M464" t="s">
        <v>10</v>
      </c>
      <c r="N464">
        <f>Main5[[#This Row],[Quantity]]*Main5[[#This Row],[Unit Price]]</f>
        <v>17.239999999999998</v>
      </c>
      <c r="O464">
        <f>Main5[[#This Row],[Unit Price]]-Main5[[#This Row],[Unit Price]]*0.2</f>
        <v>13.791999999999998</v>
      </c>
      <c r="P464">
        <f>Main5[[#This Row],[Total Price]]-Main5[[#This Row],[Cost Price]]</f>
        <v>3.4480000000000004</v>
      </c>
      <c r="Q464" t="str">
        <f>TEXT(Main5[[#This Row],[Date]],"mmm")</f>
        <v>Jul</v>
      </c>
    </row>
    <row r="465" spans="1:1" x14ac:dyDescent="0.25">
      <c r="A465" t="s">
        <v>2847</v>
      </c>
    </row>
  </sheetData>
  <conditionalFormatting sqref="N2:N464">
    <cfRule type="cellIs" dxfId="1" priority="1" operator="greaterThan">
      <formula>3441.36</formula>
    </cfRule>
    <cfRule type="cellIs" dxfId="0" priority="2" operator="greaterThan">
      <formula>3963.3825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99A0-8AED-4A09-85D4-E7DC3187ED92}">
  <dimension ref="F2:G9"/>
  <sheetViews>
    <sheetView workbookViewId="0">
      <selection activeCell="G9" sqref="G9"/>
    </sheetView>
  </sheetViews>
  <sheetFormatPr defaultRowHeight="15" x14ac:dyDescent="0.25"/>
  <cols>
    <col min="6" max="6" width="20.42578125" customWidth="1"/>
    <col min="7" max="7" width="14.140625" customWidth="1"/>
  </cols>
  <sheetData>
    <row r="2" spans="6:7" x14ac:dyDescent="0.25">
      <c r="F2" s="6" t="s">
        <v>2846</v>
      </c>
      <c r="G2" s="7" t="s">
        <v>2853</v>
      </c>
    </row>
    <row r="3" spans="6:7" x14ac:dyDescent="0.25">
      <c r="F3" s="4" t="s">
        <v>2848</v>
      </c>
      <c r="G3" s="5">
        <v>1056.3444924406058</v>
      </c>
    </row>
    <row r="4" spans="6:7" x14ac:dyDescent="0.25">
      <c r="F4" s="4" t="s">
        <v>2844</v>
      </c>
      <c r="G4" s="5">
        <v>788.6</v>
      </c>
    </row>
    <row r="5" spans="6:7" x14ac:dyDescent="0.25">
      <c r="F5" s="4" t="s">
        <v>2849</v>
      </c>
      <c r="G5" s="5">
        <v>17.239999999999998</v>
      </c>
    </row>
    <row r="6" spans="6:7" x14ac:dyDescent="0.25">
      <c r="F6" s="4" t="s">
        <v>2850</v>
      </c>
      <c r="G6" s="5">
        <v>3456.3999999999996</v>
      </c>
    </row>
    <row r="7" spans="6:7" x14ac:dyDescent="0.25">
      <c r="F7" s="4" t="s">
        <v>2851</v>
      </c>
      <c r="G7" s="5">
        <v>489087.50000000047</v>
      </c>
    </row>
    <row r="8" spans="6:7" x14ac:dyDescent="0.25">
      <c r="F8" s="8" t="s">
        <v>2845</v>
      </c>
      <c r="G8" s="9">
        <v>463</v>
      </c>
    </row>
    <row r="9" spans="6:7" x14ac:dyDescent="0.25">
      <c r="F9" s="8" t="s">
        <v>2861</v>
      </c>
      <c r="G9" s="9">
        <f>CORREL(Main5[Total Price],Main5[Profit])</f>
        <v>0.9883693556466272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2B80-D835-4859-B7A1-4F0DF316ED56}">
  <dimension ref="A3:H16"/>
  <sheetViews>
    <sheetView workbookViewId="0">
      <selection activeCell="A16" sqref="A16"/>
    </sheetView>
  </sheetViews>
  <sheetFormatPr defaultRowHeight="15" x14ac:dyDescent="0.25"/>
  <cols>
    <col min="1" max="1" width="13.140625" bestFit="1" customWidth="1"/>
    <col min="2" max="2" width="17" bestFit="1" customWidth="1"/>
    <col min="4" max="4" width="19.28515625" customWidth="1"/>
    <col min="5" max="5" width="17" bestFit="1" customWidth="1"/>
    <col min="7" max="8" width="17" bestFit="1" customWidth="1"/>
  </cols>
  <sheetData>
    <row r="3" spans="1:8" x14ac:dyDescent="0.25">
      <c r="A3" s="1" t="s">
        <v>1</v>
      </c>
      <c r="B3" t="s">
        <v>2852</v>
      </c>
      <c r="D3" s="1" t="s">
        <v>2826</v>
      </c>
      <c r="E3" t="s">
        <v>2852</v>
      </c>
      <c r="G3" s="1" t="s">
        <v>2828</v>
      </c>
      <c r="H3" t="s">
        <v>2852</v>
      </c>
    </row>
    <row r="4" spans="1:8" x14ac:dyDescent="0.25">
      <c r="A4" s="2" t="s">
        <v>28</v>
      </c>
      <c r="B4">
        <v>68185.289999999994</v>
      </c>
      <c r="D4" s="2" t="s">
        <v>25</v>
      </c>
      <c r="E4">
        <v>100291.34999999999</v>
      </c>
      <c r="G4" s="2" t="s">
        <v>2829</v>
      </c>
      <c r="H4">
        <v>65975.100000000006</v>
      </c>
    </row>
    <row r="5" spans="1:8" x14ac:dyDescent="0.25">
      <c r="A5" s="2" t="s">
        <v>60</v>
      </c>
      <c r="B5">
        <v>75912.240000000005</v>
      </c>
      <c r="D5" s="2" t="s">
        <v>32</v>
      </c>
      <c r="E5">
        <v>76271.080000000031</v>
      </c>
      <c r="G5" s="2" t="s">
        <v>2830</v>
      </c>
      <c r="H5">
        <v>36998.469999999994</v>
      </c>
    </row>
    <row r="6" spans="1:8" x14ac:dyDescent="0.25">
      <c r="A6" s="2" t="s">
        <v>45</v>
      </c>
      <c r="B6">
        <v>68235.960000000006</v>
      </c>
      <c r="D6" s="2" t="s">
        <v>63</v>
      </c>
      <c r="E6">
        <v>103688.01000000001</v>
      </c>
      <c r="G6" s="2" t="s">
        <v>2831</v>
      </c>
      <c r="H6">
        <v>42820.69</v>
      </c>
    </row>
    <row r="7" spans="1:8" x14ac:dyDescent="0.25">
      <c r="A7" s="2" t="s">
        <v>5</v>
      </c>
      <c r="B7">
        <v>64828.12000000001</v>
      </c>
      <c r="D7" s="2" t="s">
        <v>10</v>
      </c>
      <c r="E7">
        <v>112552.05999999998</v>
      </c>
      <c r="G7" s="2" t="s">
        <v>2832</v>
      </c>
      <c r="H7">
        <v>43832.15</v>
      </c>
    </row>
    <row r="8" spans="1:8" x14ac:dyDescent="0.25">
      <c r="A8" s="2" t="s">
        <v>13</v>
      </c>
      <c r="B8">
        <v>47924.07</v>
      </c>
      <c r="D8" s="2" t="s">
        <v>17</v>
      </c>
      <c r="E8">
        <v>96285</v>
      </c>
      <c r="G8" s="2" t="s">
        <v>2833</v>
      </c>
      <c r="H8">
        <v>55994.039999999994</v>
      </c>
    </row>
    <row r="9" spans="1:8" x14ac:dyDescent="0.25">
      <c r="A9" s="2" t="s">
        <v>35</v>
      </c>
      <c r="B9">
        <v>88736.920000000013</v>
      </c>
      <c r="D9" s="2" t="s">
        <v>2841</v>
      </c>
      <c r="E9">
        <v>489087.50000000006</v>
      </c>
      <c r="G9" s="2" t="s">
        <v>2834</v>
      </c>
      <c r="H9">
        <v>66383.459999999992</v>
      </c>
    </row>
    <row r="10" spans="1:8" x14ac:dyDescent="0.25">
      <c r="A10" s="2" t="s">
        <v>20</v>
      </c>
      <c r="B10">
        <v>75264.899999999994</v>
      </c>
      <c r="G10" s="2" t="s">
        <v>2835</v>
      </c>
      <c r="H10">
        <v>26592.97</v>
      </c>
    </row>
    <row r="11" spans="1:8" x14ac:dyDescent="0.25">
      <c r="A11" s="2" t="s">
        <v>2841</v>
      </c>
      <c r="B11">
        <v>489087.5</v>
      </c>
      <c r="G11" s="2" t="s">
        <v>2836</v>
      </c>
      <c r="H11">
        <v>32164.109999999993</v>
      </c>
    </row>
    <row r="12" spans="1:8" x14ac:dyDescent="0.25">
      <c r="G12" s="2" t="s">
        <v>2837</v>
      </c>
      <c r="H12">
        <v>27303.52</v>
      </c>
    </row>
    <row r="13" spans="1:8" x14ac:dyDescent="0.25">
      <c r="G13" s="2" t="s">
        <v>2838</v>
      </c>
      <c r="H13">
        <v>30313.040000000001</v>
      </c>
    </row>
    <row r="14" spans="1:8" x14ac:dyDescent="0.25">
      <c r="G14" s="2" t="s">
        <v>2839</v>
      </c>
      <c r="H14">
        <v>28259.370000000003</v>
      </c>
    </row>
    <row r="15" spans="1:8" x14ac:dyDescent="0.25">
      <c r="G15" s="2" t="s">
        <v>2840</v>
      </c>
      <c r="H15">
        <v>32450.579999999994</v>
      </c>
    </row>
    <row r="16" spans="1:8" x14ac:dyDescent="0.25">
      <c r="G16" s="2" t="s">
        <v>2841</v>
      </c>
      <c r="H16">
        <v>489087.5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A6DA-58A9-418E-992D-A2138FFD59CF}">
  <dimension ref="A1"/>
  <sheetViews>
    <sheetView topLeftCell="A12" workbookViewId="0">
      <selection activeCell="Q31" sqref="Q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AA21-6B7C-4F07-8194-692933C729E8}">
  <dimension ref="F3:G13"/>
  <sheetViews>
    <sheetView tabSelected="1" workbookViewId="0">
      <selection activeCell="K10" sqref="K10"/>
    </sheetView>
  </sheetViews>
  <sheetFormatPr defaultRowHeight="15" x14ac:dyDescent="0.25"/>
  <cols>
    <col min="1" max="1" width="23.85546875" customWidth="1"/>
    <col min="3" max="3" width="18.85546875" customWidth="1"/>
    <col min="6" max="6" width="27" customWidth="1"/>
    <col min="7" max="7" width="13.42578125" customWidth="1"/>
  </cols>
  <sheetData>
    <row r="3" spans="6:7" x14ac:dyDescent="0.25">
      <c r="F3" s="10" t="s">
        <v>2854</v>
      </c>
      <c r="G3" s="11" t="s">
        <v>2855</v>
      </c>
    </row>
    <row r="4" spans="6:7" x14ac:dyDescent="0.25">
      <c r="F4" s="4" t="s">
        <v>2856</v>
      </c>
      <c r="G4" s="12">
        <f>'Sales Overview'!G3</f>
        <v>1056.3444924406058</v>
      </c>
    </row>
    <row r="5" spans="6:7" x14ac:dyDescent="0.25">
      <c r="F5" s="4" t="s">
        <v>2860</v>
      </c>
      <c r="G5" s="13" t="str">
        <f>'Pivot Table'!D7</f>
        <v>Instagram</v>
      </c>
    </row>
    <row r="6" spans="6:7" x14ac:dyDescent="0.25">
      <c r="F6" s="4" t="s">
        <v>2857</v>
      </c>
      <c r="G6" s="13" t="str">
        <f>'Pivot Table'!A9</f>
        <v>Printer</v>
      </c>
    </row>
    <row r="7" spans="6:7" x14ac:dyDescent="0.25">
      <c r="F7" s="4" t="s">
        <v>2858</v>
      </c>
      <c r="G7" s="13">
        <v>1</v>
      </c>
    </row>
    <row r="8" spans="6:7" x14ac:dyDescent="0.25">
      <c r="F8" s="8" t="s">
        <v>2859</v>
      </c>
      <c r="G8" s="14">
        <f>Table3[[#Totals],[Figures]]</f>
        <v>0.9883693556466272</v>
      </c>
    </row>
    <row r="11" spans="6:7" x14ac:dyDescent="0.25">
      <c r="G11">
        <f>_xlfn.QUARTILE.INC(Main5[Total Price],1)</f>
        <v>404.18500000000006</v>
      </c>
    </row>
    <row r="12" spans="6:7" x14ac:dyDescent="0.25">
      <c r="G12">
        <f>_xlfn.QUARTILE.INC(Main5[Total Price],3)</f>
        <v>1619.0550000000001</v>
      </c>
    </row>
    <row r="13" spans="6:7" x14ac:dyDescent="0.25">
      <c r="G13">
        <f>G12+1.5*(G12-G11)</f>
        <v>3441.3599999999997</v>
      </c>
    </row>
  </sheetData>
  <pageMargins left="0.7" right="0.7" top="0.75" bottom="0.75" header="0.3" footer="0.3"/>
  <ignoredErrors>
    <ignoredError sqref="G5:G7 G8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56417D-83BE-41A4-AEBA-E8CDFC69E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Sales Overview</vt:lpstr>
      <vt:lpstr>Pivot Table</vt:lpstr>
      <vt:lpstr>Visualisation</vt:lpstr>
      <vt:lpstr>Summary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E. Udoh</dc:creator>
  <cp:lastModifiedBy>USER-PC</cp:lastModifiedBy>
  <dcterms:created xsi:type="dcterms:W3CDTF">2026-06-06T22:24:33Z</dcterms:created>
  <dcterms:modified xsi:type="dcterms:W3CDTF">2026-05-10T03:50:29Z</dcterms:modified>
</cp:coreProperties>
</file>